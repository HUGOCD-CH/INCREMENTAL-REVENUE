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y Account" sheetId="2" state="visible" r:id="rId4"/>
    <sheet name="By Count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<sst xmlns="http://schemas.openxmlformats.org/spreadsheetml/2006/main" count="548" uniqueCount="231">
  <si>
    <t xml:space="preserve">AGING INVENTORY — INCREMENTAL CHANGE REPORT</t>
  </si>
  <si>
    <t xml:space="preserve">Comparison: 2026-04-07  →  2026-04-14   |   Source: Aging Inventory Analysis Reports</t>
  </si>
  <si>
    <t xml:space="preserve">KEY METRICS</t>
  </si>
  <si>
    <t xml:space="preserve">Report</t>
  </si>
  <si>
    <t xml:space="preserve">2026-04-07 ($)</t>
  </si>
  <si>
    <t xml:space="preserve">2026-04-14 ($)</t>
  </si>
  <si>
    <t xml:space="preserve">Change ($)</t>
  </si>
  <si>
    <t xml:space="preserve">% Change</t>
  </si>
  <si>
    <t xml:space="preserve">Total Aging Inventory ($)</t>
  </si>
  <si>
    <t xml:space="preserve">Total Accounts</t>
  </si>
  <si>
    <t xml:space="preserve">Total Countries</t>
  </si>
  <si>
    <t xml:space="preserve">Total Lines</t>
  </si>
  <si>
    <t xml:space="preserve">ACCOUNT STATUS SUMMARY</t>
  </si>
  <si>
    <t xml:space="preserve">Status</t>
  </si>
  <si>
    <t xml:space="preserve"># Accounts</t>
  </si>
  <si>
    <t xml:space="preserve">Increased</t>
  </si>
  <si>
    <t xml:space="preserve">Decreased</t>
  </si>
  <si>
    <t xml:space="preserve">New Account</t>
  </si>
  <si>
    <t xml:space="preserve">Removed</t>
  </si>
  <si>
    <t xml:space="preserve">No Change</t>
  </si>
  <si>
    <t xml:space="preserve">AGING INVENTORY — INCREMENTAL CHANGES BY ACCOUNT</t>
  </si>
  <si>
    <t xml:space="preserve">Comparison: 2026-04-07  →  2026-04-14</t>
  </si>
  <si>
    <t xml:space="preserve">Country</t>
  </si>
  <si>
    <t xml:space="preserve">Account</t>
  </si>
  <si>
    <t xml:space="preserve">Kit Owner</t>
  </si>
  <si>
    <t xml:space="preserve">Sales Rep Manager</t>
  </si>
  <si>
    <t xml:space="preserve">Total $ 2026-04-07</t>
  </si>
  <si>
    <t xml:space="preserve">Total $ 2026-04-14</t>
  </si>
  <si>
    <t xml:space="preserve">Austria</t>
  </si>
  <si>
    <t xml:space="preserve">Mag Sabine Freysinger</t>
  </si>
  <si>
    <t xml:space="preserve">Siegrid Wanilian</t>
  </si>
  <si>
    <t xml:space="preserve">Helga Cornelia Dos Santos Carneiro</t>
  </si>
  <si>
    <t xml:space="preserve">Belgium</t>
  </si>
  <si>
    <t xml:space="preserve">(blank)</t>
  </si>
  <si>
    <t xml:space="preserve">CH EPICURA ASBL - Site de Hornu</t>
  </si>
  <si>
    <t xml:space="preserve">Cédric Guillaume</t>
  </si>
  <si>
    <t xml:space="preserve">Daniel Warnier</t>
  </si>
  <si>
    <t xml:space="preserve">CH Regional de la Citadelle</t>
  </si>
  <si>
    <t xml:space="preserve">Stanislas Laval</t>
  </si>
  <si>
    <t xml:space="preserve">CHU De Liège - Site du Sart Tilman</t>
  </si>
  <si>
    <t xml:space="preserve">HUmani - site André Vésale</t>
  </si>
  <si>
    <t xml:space="preserve">Denmark</t>
  </si>
  <si>
    <t xml:space="preserve">#Århus Universitetshospital, Skejby</t>
  </si>
  <si>
    <t xml:space="preserve">Jens Ravn</t>
  </si>
  <si>
    <t xml:space="preserve">Jesper Hansen</t>
  </si>
  <si>
    <t xml:space="preserve">Privathospitalet Mølholm</t>
  </si>
  <si>
    <t xml:space="preserve">Stig Caldron</t>
  </si>
  <si>
    <t xml:space="preserve">Region Sjaelland, Sjællands</t>
  </si>
  <si>
    <t xml:space="preserve">Dorte Duus</t>
  </si>
  <si>
    <t xml:space="preserve">Finland</t>
  </si>
  <si>
    <t xml:space="preserve">Keski-Pohjanmaan hyvinvointialue</t>
  </si>
  <si>
    <t xml:space="preserve">Jukka Luukinen</t>
  </si>
  <si>
    <t xml:space="preserve">Sari Tuominen</t>
  </si>
  <si>
    <t xml:space="preserve">France</t>
  </si>
  <si>
    <t xml:space="preserve">CHRU Lille</t>
  </si>
  <si>
    <t xml:space="preserve">Vincent Messiac</t>
  </si>
  <si>
    <t xml:space="preserve">Jeremy De Backer</t>
  </si>
  <si>
    <t xml:space="preserve">CHU Bordeaux</t>
  </si>
  <si>
    <t xml:space="preserve">Germany</t>
  </si>
  <si>
    <t xml:space="preserve">Agaplesion Diakonieklinikum Hamburg</t>
  </si>
  <si>
    <t xml:space="preserve">Dejan Bogdanovic</t>
  </si>
  <si>
    <t xml:space="preserve">Esra Karakas</t>
  </si>
  <si>
    <t xml:space="preserve">DGD Krankenhaus Sachsenhausen gGmbH</t>
  </si>
  <si>
    <t xml:space="preserve">Janine Botsch</t>
  </si>
  <si>
    <t xml:space="preserve">Maurice Lenssen</t>
  </si>
  <si>
    <t xml:space="preserve">Klinikum Lippe-Detmold</t>
  </si>
  <si>
    <t xml:space="preserve">Peer Schaetzler</t>
  </si>
  <si>
    <t xml:space="preserve">Ozgur Yurduozler</t>
  </si>
  <si>
    <t xml:space="preserve">Krankenhaus St. Elisabeth gGmbH</t>
  </si>
  <si>
    <t xml:space="preserve">Frank Heijdra</t>
  </si>
  <si>
    <t xml:space="preserve">Hugo Calefi Dias</t>
  </si>
  <si>
    <t xml:space="preserve">Pius-Hospital Oldenburg</t>
  </si>
  <si>
    <t xml:space="preserve">Alexandra Gawrysch</t>
  </si>
  <si>
    <t xml:space="preserve">Thomas Albers</t>
  </si>
  <si>
    <t xml:space="preserve">Ireland</t>
  </si>
  <si>
    <t xml:space="preserve">St Vincents University Hospital</t>
  </si>
  <si>
    <t xml:space="preserve">Clare Molloy</t>
  </si>
  <si>
    <t xml:space="preserve">Olivia Wit</t>
  </si>
  <si>
    <t xml:space="preserve">Israel</t>
  </si>
  <si>
    <t xml:space="preserve">Italy</t>
  </si>
  <si>
    <t xml:space="preserve">AOU UNIV. LUIGI VANVITELLI</t>
  </si>
  <si>
    <t xml:space="preserve">Eugenia Maria Bruno</t>
  </si>
  <si>
    <t xml:space="preserve">Lucio Carbone</t>
  </si>
  <si>
    <t xml:space="preserve">ASST Niguarda</t>
  </si>
  <si>
    <t xml:space="preserve">Arianna Silvani</t>
  </si>
  <si>
    <t xml:space="preserve">Luca Isolini</t>
  </si>
  <si>
    <t xml:space="preserve">Casa di Cura Abano Terme</t>
  </si>
  <si>
    <t xml:space="preserve">CdC Multimedica - Sesto S.Giovanni</t>
  </si>
  <si>
    <t xml:space="preserve">Marianna Biondo</t>
  </si>
  <si>
    <t xml:space="preserve">Salvatore Sorrenti</t>
  </si>
  <si>
    <t xml:space="preserve">Distretto Di Reggio Emilia</t>
  </si>
  <si>
    <t xml:space="preserve">Mariapaola Oliviero</t>
  </si>
  <si>
    <t xml:space="preserve">Humanitas Mirasole Spa</t>
  </si>
  <si>
    <t xml:space="preserve">Kronosan S.R.L.</t>
  </si>
  <si>
    <t xml:space="preserve">Policlinico San Donato S.P.A.</t>
  </si>
  <si>
    <t xml:space="preserve">Latvia</t>
  </si>
  <si>
    <t xml:space="preserve">AB Technology Corporation</t>
  </si>
  <si>
    <t xml:space="preserve">Margus Laanesaar</t>
  </si>
  <si>
    <t xml:space="preserve">Julija Gara</t>
  </si>
  <si>
    <t xml:space="preserve">Aiwa Clinic, SIA</t>
  </si>
  <si>
    <t xml:space="preserve">Tuberkul. un plaušu slim. centrs</t>
  </si>
  <si>
    <t xml:space="preserve">Netherlands</t>
  </si>
  <si>
    <t xml:space="preserve">St. Antonius Ziekenhuis Nieuwegein</t>
  </si>
  <si>
    <t xml:space="preserve">Sebastiaan Rijthoven</t>
  </si>
  <si>
    <t xml:space="preserve">Jan Osch</t>
  </si>
  <si>
    <t xml:space="preserve">Weight Works</t>
  </si>
  <si>
    <t xml:space="preserve">Jeroen Reijers</t>
  </si>
  <si>
    <t xml:space="preserve">Poland</t>
  </si>
  <si>
    <t xml:space="preserve">MEDICUS Sp. z o. o.</t>
  </si>
  <si>
    <t xml:space="preserve">Lukasz Wlizlo</t>
  </si>
  <si>
    <t xml:space="preserve">Marek Ostrowski</t>
  </si>
  <si>
    <t xml:space="preserve">Mazowiecki Szpital Specjalistyczny</t>
  </si>
  <si>
    <t xml:space="preserve">Bartosz Waclawski</t>
  </si>
  <si>
    <t xml:space="preserve">Marcin Zielinski</t>
  </si>
  <si>
    <t xml:space="preserve">Nowy Szpital w Kostrzynie</t>
  </si>
  <si>
    <t xml:space="preserve">Michal Dziubak</t>
  </si>
  <si>
    <t xml:space="preserve">Rafal Wisniewski</t>
  </si>
  <si>
    <t xml:space="preserve">SPSK im. prof. W. Orłowskiego</t>
  </si>
  <si>
    <t xml:space="preserve">Michal Zebrowski</t>
  </si>
  <si>
    <t xml:space="preserve">SPZOZ Centralny Szpital Kliniczny</t>
  </si>
  <si>
    <t xml:space="preserve">Elzbieta Pelc-Jaczewska</t>
  </si>
  <si>
    <t xml:space="preserve">SPZOZ w Łęcznej</t>
  </si>
  <si>
    <t xml:space="preserve">Maciej Engman</t>
  </si>
  <si>
    <t xml:space="preserve">Samodzielny Publiczny Wojewódzki</t>
  </si>
  <si>
    <t xml:space="preserve">Kamila Szkolnicka</t>
  </si>
  <si>
    <t xml:space="preserve">Samodzielny Publiczny Zakład</t>
  </si>
  <si>
    <t xml:space="preserve">Specjalistyczne Centrum Medyczne</t>
  </si>
  <si>
    <t xml:space="preserve">Szpital Specjalistyczny</t>
  </si>
  <si>
    <t xml:space="preserve">Marek Aleksander Guzowski</t>
  </si>
  <si>
    <t xml:space="preserve">Adam Kozuch</t>
  </si>
  <si>
    <t xml:space="preserve">Szpital Uniwersytecki Nr 2</t>
  </si>
  <si>
    <t xml:space="preserve">Uniwersytecki Szpital</t>
  </si>
  <si>
    <t xml:space="preserve">Celina Lorenc-Zareba</t>
  </si>
  <si>
    <t xml:space="preserve">Oskar Drabik</t>
  </si>
  <si>
    <t xml:space="preserve">Wielospecjalistyczny Szpital</t>
  </si>
  <si>
    <t xml:space="preserve">Wielospecjalistyczny Szpital SPZOZ</t>
  </si>
  <si>
    <t xml:space="preserve">Wojewódzki Szpital Zespolony</t>
  </si>
  <si>
    <t xml:space="preserve">Wojskowy Instytut Medyczny</t>
  </si>
  <si>
    <t xml:space="preserve">Zbigniew Mazan Klinika</t>
  </si>
  <si>
    <t xml:space="preserve">Portugal</t>
  </si>
  <si>
    <t xml:space="preserve">@HOSPITAL DA PRELADA</t>
  </si>
  <si>
    <t xml:space="preserve">Filipe Oliveira</t>
  </si>
  <si>
    <t xml:space="preserve">Alexandre Rocha</t>
  </si>
  <si>
    <t xml:space="preserve">S. S. REGIÃO AUTÓNOMA MADEIRA, EPE</t>
  </si>
  <si>
    <t xml:space="preserve">Andre Oliveira</t>
  </si>
  <si>
    <t xml:space="preserve">|ULS Entre Douro e Vouga, EPE</t>
  </si>
  <si>
    <t xml:space="preserve">Slovenia</t>
  </si>
  <si>
    <t xml:space="preserve">South Africa</t>
  </si>
  <si>
    <t xml:space="preserve">Mediclinic Durbanville</t>
  </si>
  <si>
    <t xml:space="preserve">Lungile Mvuyane</t>
  </si>
  <si>
    <t xml:space="preserve">Jane Franklin</t>
  </si>
  <si>
    <t xml:space="preserve">Spain</t>
  </si>
  <si>
    <t xml:space="preserve">@COMP.HOSP.UNIVERSITARIO DE BADAJOZ</t>
  </si>
  <si>
    <t xml:space="preserve">Javier Pijierro Sa</t>
  </si>
  <si>
    <t xml:space="preserve">Joaquin Roman Gonzalez</t>
  </si>
  <si>
    <t xml:space="preserve">@HOSPITAL JUAN RAMON JIMENEZ</t>
  </si>
  <si>
    <t xml:space="preserve">Gema Luque</t>
  </si>
  <si>
    <t xml:space="preserve">Marisa Vizarraga Catalan</t>
  </si>
  <si>
    <t xml:space="preserve">@HOSPITAL MIGUEL SERVET</t>
  </si>
  <si>
    <t xml:space="preserve">Xavier Garriga</t>
  </si>
  <si>
    <t xml:space="preserve">CHUB</t>
  </si>
  <si>
    <t xml:space="preserve">CLINICA VISTAHERMOSA</t>
  </si>
  <si>
    <t xml:space="preserve">Sara Peralta</t>
  </si>
  <si>
    <t xml:space="preserve">Aranzazu Bueno</t>
  </si>
  <si>
    <t xml:space="preserve">COMPLEJO HOSPITALARIO SAN PEDRO</t>
  </si>
  <si>
    <t xml:space="preserve">Javier El Busto Ganuza</t>
  </si>
  <si>
    <t xml:space="preserve">Benigno Rivera Fernandez</t>
  </si>
  <si>
    <t xml:space="preserve">CONSORCIO HOSPITAL GENERAL U.</t>
  </si>
  <si>
    <t xml:space="preserve">Alvaro Ferrandis</t>
  </si>
  <si>
    <t xml:space="preserve">Manuel Arnau Sabates</t>
  </si>
  <si>
    <t xml:space="preserve">ESPECIALIZADA Y PRIMARIA L'HORTA</t>
  </si>
  <si>
    <t xml:space="preserve">FUNDACIÓ ASSISTENCIAL</t>
  </si>
  <si>
    <t xml:space="preserve">Marta Lopez</t>
  </si>
  <si>
    <t xml:space="preserve">FUNDACIÓN JIMÉNEZ DÍAZ U.T.E.</t>
  </si>
  <si>
    <t xml:space="preserve">Vanessa Oltra</t>
  </si>
  <si>
    <t xml:space="preserve">Maria Soledad Rio</t>
  </si>
  <si>
    <t xml:space="preserve">GERENCIA AREA DE SALUD DE PLASENCIA</t>
  </si>
  <si>
    <t xml:space="preserve">GERENCIA AREA SALUD MERIDA</t>
  </si>
  <si>
    <t xml:space="preserve">Daniel Caparros</t>
  </si>
  <si>
    <t xml:space="preserve">Jose Soto</t>
  </si>
  <si>
    <t xml:space="preserve">GERENCIA DE AREA DE SALUD</t>
  </si>
  <si>
    <t xml:space="preserve">HOSPITAL DEL MAR</t>
  </si>
  <si>
    <t xml:space="preserve">Ivan Garcia Ridao</t>
  </si>
  <si>
    <t xml:space="preserve">Bernabela Carmen Poveda Callejas</t>
  </si>
  <si>
    <t xml:space="preserve">HOSPITAL FRANCESC DE BORJA</t>
  </si>
  <si>
    <t xml:space="preserve">Maria Victoria Valero Rubio</t>
  </si>
  <si>
    <t xml:space="preserve">HOSPITAL Nª Sª DE VALME</t>
  </si>
  <si>
    <t xml:space="preserve">HOSPITAL S.V.S. MARINA BAIXA</t>
  </si>
  <si>
    <t xml:space="preserve">HOSPITAL U. ARABA-TXAGORRITXU</t>
  </si>
  <si>
    <t xml:space="preserve">HOSPITAL U. Ntra. Sª DE CANDELARIA</t>
  </si>
  <si>
    <t xml:space="preserve">Daniel Orozco</t>
  </si>
  <si>
    <t xml:space="preserve">HOSPITAL U. SON ESPASES</t>
  </si>
  <si>
    <t xml:space="preserve">Jose Manuel Comas</t>
  </si>
  <si>
    <t xml:space="preserve">Hospital Universitari Sagrat Cor</t>
  </si>
  <si>
    <t xml:space="preserve">P.P.L.I. DE CORDOBA</t>
  </si>
  <si>
    <t xml:space="preserve">Manuel Garcia Montanez</t>
  </si>
  <si>
    <t xml:space="preserve">SUMINISTROS HOSPITALARIOS, S.A.</t>
  </si>
  <si>
    <t xml:space="preserve">Irene Garcia</t>
  </si>
  <si>
    <t xml:space="preserve">Elena Urkizu Sáez</t>
  </si>
  <si>
    <t xml:space="preserve">VITHAS LAS PALMAS</t>
  </si>
  <si>
    <t xml:space="preserve">Navin Mohanani</t>
  </si>
  <si>
    <t xml:space="preserve">Sweden</t>
  </si>
  <si>
    <t xml:space="preserve">Aleris Obesitas Plus Malmö</t>
  </si>
  <si>
    <t xml:space="preserve">Maria Senyk</t>
  </si>
  <si>
    <t xml:space="preserve">Ulrika Beischer</t>
  </si>
  <si>
    <t xml:space="preserve">Capio Kirurgkliniken Stockholm AB</t>
  </si>
  <si>
    <t xml:space="preserve">Cathrine S. Sternberg</t>
  </si>
  <si>
    <t xml:space="preserve">Christian Andre</t>
  </si>
  <si>
    <t xml:space="preserve">GB Obesitas Skåne AB</t>
  </si>
  <si>
    <t xml:space="preserve">Daniel Flood</t>
  </si>
  <si>
    <t xml:space="preserve">Södertälje Sjukhus</t>
  </si>
  <si>
    <t xml:space="preserve">Switzerland</t>
  </si>
  <si>
    <t xml:space="preserve">HFR Fribourg</t>
  </si>
  <si>
    <t xml:space="preserve">Julie Berbey</t>
  </si>
  <si>
    <t xml:space="preserve">Ann Diepers</t>
  </si>
  <si>
    <t xml:space="preserve">Spital Limmattal</t>
  </si>
  <si>
    <t xml:space="preserve">Mario Grieco</t>
  </si>
  <si>
    <t xml:space="preserve">Rolf Werner</t>
  </si>
  <si>
    <t xml:space="preserve">UAE</t>
  </si>
  <si>
    <t xml:space="preserve">UK</t>
  </si>
  <si>
    <t xml:space="preserve">Circle The Alexandra Hospital (ALX</t>
  </si>
  <si>
    <t xml:space="preserve">Sarah Russell</t>
  </si>
  <si>
    <t xml:space="preserve">Nina Stuart</t>
  </si>
  <si>
    <t xml:space="preserve">Transform - Pines Hospital</t>
  </si>
  <si>
    <t xml:space="preserve">Parniyan Naibkhill</t>
  </si>
  <si>
    <t xml:space="preserve">John Verovkins</t>
  </si>
  <si>
    <t xml:space="preserve">USCEM</t>
  </si>
  <si>
    <t xml:space="preserve">Marienhospital Aachen GmbH</t>
  </si>
  <si>
    <t xml:space="preserve">Raoul Smids</t>
  </si>
  <si>
    <t xml:space="preserve">GRAND TOTAL</t>
  </si>
  <si>
    <t xml:space="preserve">AGING INVENTORY — INCREMENTAL CHANGES BY COUNTRY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</si>
</sst>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;\(0.0%\);\-"/>
    <numFmt numFmtId="167" formatCode="\$#,##0.00;&quot;($&quot;#,##0.0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EBF3FB"/>
      </patternFill>
    </fill>
    <fill>
      <patternFill patternType="solid">
        <fgColor rgb="FFFFF0EE"/>
        <bgColor rgb="FFF5F5F5"/>
      </patternFill>
    </fill>
    <fill>
      <patternFill patternType="solid">
        <fgColor rgb="FFDDEEFF"/>
        <bgColor rgb="FFEBF3FB"/>
      </patternFill>
    </fill>
    <fill>
      <patternFill patternType="solid">
        <fgColor rgb="FFF5F5F5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EE"/>
      <rgbColor rgb="FFDDEEFF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5F5F5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true" outlineLevel="0" collapsed="false">
      <c r="A6" s="5" t="s">
        <v>8</v>
      </c>
      <c r="B6" s="6" t="n">
        <v>1046029.67412319</v>
      </c>
      <c r="C6" s="6" t="n">
        <v>974606.04325649</v>
      </c>
      <c r="D6" s="7" t="n">
        <v>-71423.6308667039</v>
      </c>
      <c r="E6" s="8" t="n">
        <v>-0.0682806928269725</v>
      </c>
    </row>
    <row r="7" customFormat="false" ht="15" hidden="false" customHeight="true" outlineLevel="0" collapsed="false">
      <c r="A7" s="9" t="s">
        <v>9</v>
      </c>
      <c r="B7" s="10" t="n">
        <v>91</v>
      </c>
      <c r="C7" s="10" t="n">
        <v>87</v>
      </c>
      <c r="D7" s="11" t="n">
        <v>-4</v>
      </c>
    </row>
    <row r="8" customFormat="false" ht="15" hidden="false" customHeight="true" outlineLevel="0" collapsed="false">
      <c r="A8" s="5" t="s">
        <v>10</v>
      </c>
      <c r="B8" s="12" t="n">
        <v>21</v>
      </c>
      <c r="C8" s="12" t="n">
        <v>21</v>
      </c>
      <c r="D8" s="13" t="n">
        <v>0</v>
      </c>
    </row>
    <row r="9" customFormat="false" ht="15" hidden="false" customHeight="true" outlineLevel="0" collapsed="false">
      <c r="A9" s="9" t="s">
        <v>11</v>
      </c>
      <c r="B9" s="10" t="n">
        <v>280</v>
      </c>
      <c r="C9" s="10" t="n">
        <v>255</v>
      </c>
      <c r="D9" s="11" t="n">
        <v>-25</v>
      </c>
    </row>
    <row r="10" customFormat="false" ht="7.5" hidden="false" customHeight="true" outlineLevel="0" collapsed="false"/>
    <row r="11" customFormat="false" ht="18" hidden="false" customHeight="true" outlineLevel="0" collapsed="false">
      <c r="A11" s="3" t="s">
        <v>12</v>
      </c>
      <c r="B11" s="3"/>
      <c r="C11" s="3"/>
      <c r="D11" s="3"/>
      <c r="E11" s="3"/>
      <c r="F11" s="3"/>
      <c r="G11" s="3"/>
    </row>
    <row r="12" customFormat="false" ht="27.75" hidden="false" customHeight="true" outlineLevel="0" collapsed="false">
      <c r="A12" s="4" t="s">
        <v>13</v>
      </c>
      <c r="B12" s="4" t="s">
        <v>14</v>
      </c>
    </row>
    <row r="13" customFormat="false" ht="15" hidden="false" customHeight="true" outlineLevel="0" collapsed="false">
      <c r="A13" s="14" t="s">
        <v>15</v>
      </c>
      <c r="B13" s="15" t="n">
        <v>7</v>
      </c>
    </row>
    <row r="14" customFormat="false" ht="15" hidden="false" customHeight="true" outlineLevel="0" collapsed="false">
      <c r="A14" s="16" t="s">
        <v>16</v>
      </c>
      <c r="B14" s="17" t="n">
        <v>11</v>
      </c>
    </row>
    <row r="15" customFormat="false" ht="15" hidden="false" customHeight="true" outlineLevel="0" collapsed="false">
      <c r="A15" s="18" t="s">
        <v>17</v>
      </c>
      <c r="B15" s="19" t="n">
        <v>2</v>
      </c>
    </row>
    <row r="16" customFormat="false" ht="15" hidden="false" customHeight="true" outlineLevel="0" collapsed="false">
      <c r="A16" s="20" t="s">
        <v>18</v>
      </c>
      <c r="B16" s="21" t="n">
        <v>7</v>
      </c>
    </row>
    <row r="17" customFormat="false" ht="15" hidden="false" customHeight="true" outlineLevel="0" collapsed="false">
      <c r="A17" s="9" t="s">
        <v>19</v>
      </c>
      <c r="B17" s="10" t="n">
        <v>66</v>
      </c>
    </row>
  </sheetData>
  <mergeCells count="4">
    <mergeCell ref="A1:G1"/>
    <mergeCell ref="A2:G2"/>
    <mergeCell ref="A4:G4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6" min="5" style="0" width="20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22" t="s">
        <v>20</v>
      </c>
      <c r="B1" s="22"/>
      <c r="C1" s="22"/>
      <c r="D1" s="22"/>
      <c r="E1" s="22"/>
      <c r="F1" s="22"/>
      <c r="G1" s="22"/>
      <c r="H1" s="22"/>
      <c r="I1" s="22"/>
    </row>
    <row r="2" customFormat="false" ht="13.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6</v>
      </c>
      <c r="H3" s="4" t="s">
        <v>7</v>
      </c>
      <c r="I3" s="4" t="s">
        <v>13</v>
      </c>
    </row>
    <row r="4" customFormat="false" ht="15" hidden="false" customHeight="true" outlineLevel="0" collapsed="false">
      <c r="A4" s="23" t="s">
        <v>28</v>
      </c>
      <c r="B4" s="24" t="s">
        <v>29</v>
      </c>
      <c r="C4" s="24" t="s">
        <v>30</v>
      </c>
      <c r="D4" s="24" t="s">
        <v>31</v>
      </c>
      <c r="E4" s="25" t="n">
        <v>1737.650237</v>
      </c>
      <c r="F4" s="25" t="n">
        <v>1737.650237</v>
      </c>
      <c r="G4" s="26" t="n">
        <v>0</v>
      </c>
      <c r="H4" s="27" t="n">
        <v>0</v>
      </c>
      <c r="I4" s="23" t="s">
        <v>19</v>
      </c>
    </row>
    <row r="5" customFormat="false" ht="15" hidden="false" customHeight="true" outlineLevel="0" collapsed="false">
      <c r="A5" s="23" t="s">
        <v>32</v>
      </c>
      <c r="B5" s="24" t="s">
        <v>33</v>
      </c>
      <c r="C5" s="24" t="s">
        <v>33</v>
      </c>
      <c r="D5" s="24" t="s">
        <v>33</v>
      </c>
      <c r="E5" s="25" t="n">
        <v>0</v>
      </c>
      <c r="F5" s="25" t="n">
        <v>0</v>
      </c>
      <c r="G5" s="26" t="n">
        <v>0</v>
      </c>
      <c r="H5" s="27"/>
      <c r="I5" s="23" t="s">
        <v>19</v>
      </c>
    </row>
    <row r="6" customFormat="false" ht="15" hidden="false" customHeight="true" outlineLevel="0" collapsed="false">
      <c r="A6" s="23" t="s">
        <v>32</v>
      </c>
      <c r="B6" s="24" t="s">
        <v>34</v>
      </c>
      <c r="C6" s="24" t="s">
        <v>35</v>
      </c>
      <c r="D6" s="24" t="s">
        <v>36</v>
      </c>
      <c r="E6" s="25" t="n">
        <v>7322.74591771429</v>
      </c>
      <c r="F6" s="25" t="n">
        <v>7322.74591771429</v>
      </c>
      <c r="G6" s="26" t="n">
        <v>0</v>
      </c>
      <c r="H6" s="27" t="n">
        <v>0</v>
      </c>
      <c r="I6" s="23" t="s">
        <v>19</v>
      </c>
    </row>
    <row r="7" customFormat="false" ht="15" hidden="false" customHeight="true" outlineLevel="0" collapsed="false">
      <c r="A7" s="23" t="s">
        <v>32</v>
      </c>
      <c r="B7" s="24" t="s">
        <v>37</v>
      </c>
      <c r="C7" s="24" t="s">
        <v>38</v>
      </c>
      <c r="D7" s="24" t="s">
        <v>36</v>
      </c>
      <c r="E7" s="25" t="n">
        <v>6524.25686552083</v>
      </c>
      <c r="F7" s="25" t="n">
        <v>6524.25686552083</v>
      </c>
      <c r="G7" s="26" t="n">
        <v>0</v>
      </c>
      <c r="H7" s="27" t="n">
        <v>0</v>
      </c>
      <c r="I7" s="23" t="s">
        <v>19</v>
      </c>
    </row>
    <row r="8" customFormat="false" ht="15" hidden="false" customHeight="true" outlineLevel="0" collapsed="false">
      <c r="A8" s="23" t="s">
        <v>32</v>
      </c>
      <c r="B8" s="24" t="s">
        <v>39</v>
      </c>
      <c r="C8" s="24" t="s">
        <v>38</v>
      </c>
      <c r="D8" s="24" t="s">
        <v>36</v>
      </c>
      <c r="E8" s="25" t="n">
        <v>3097.5022225</v>
      </c>
      <c r="F8" s="25" t="n">
        <v>3097.5022225</v>
      </c>
      <c r="G8" s="26" t="n">
        <v>0</v>
      </c>
      <c r="H8" s="27" t="n">
        <v>0</v>
      </c>
      <c r="I8" s="23" t="s">
        <v>19</v>
      </c>
    </row>
    <row r="9" customFormat="false" ht="15" hidden="false" customHeight="true" outlineLevel="0" collapsed="false">
      <c r="A9" s="23" t="s">
        <v>32</v>
      </c>
      <c r="B9" s="24" t="s">
        <v>40</v>
      </c>
      <c r="C9" s="24" t="s">
        <v>35</v>
      </c>
      <c r="D9" s="24" t="s">
        <v>36</v>
      </c>
      <c r="E9" s="25" t="n">
        <v>4712.57271216807</v>
      </c>
      <c r="F9" s="25" t="n">
        <v>4712.57271216807</v>
      </c>
      <c r="G9" s="26" t="n">
        <v>0</v>
      </c>
      <c r="H9" s="27" t="n">
        <v>0</v>
      </c>
      <c r="I9" s="23" t="s">
        <v>19</v>
      </c>
    </row>
    <row r="10" customFormat="false" ht="15" hidden="false" customHeight="true" outlineLevel="0" collapsed="false">
      <c r="A10" s="28" t="s">
        <v>41</v>
      </c>
      <c r="B10" s="29" t="s">
        <v>42</v>
      </c>
      <c r="C10" s="29" t="s">
        <v>43</v>
      </c>
      <c r="D10" s="29" t="s">
        <v>44</v>
      </c>
      <c r="E10" s="30" t="n">
        <v>98623.9632123025</v>
      </c>
      <c r="F10" s="30" t="n">
        <v>98874.8304400672</v>
      </c>
      <c r="G10" s="31" t="n">
        <v>250.867227764698</v>
      </c>
      <c r="H10" s="32" t="n">
        <v>0.00254367416998514</v>
      </c>
      <c r="I10" s="33" t="s">
        <v>15</v>
      </c>
    </row>
    <row r="11" customFormat="false" ht="15" hidden="false" customHeight="true" outlineLevel="0" collapsed="false">
      <c r="A11" s="34" t="s">
        <v>41</v>
      </c>
      <c r="B11" s="35" t="s">
        <v>45</v>
      </c>
      <c r="C11" s="35" t="s">
        <v>46</v>
      </c>
      <c r="D11" s="35" t="s">
        <v>44</v>
      </c>
      <c r="E11" s="36" t="n">
        <v>14917.8082187037</v>
      </c>
      <c r="F11" s="36" t="n">
        <v>6780.82191758772</v>
      </c>
      <c r="G11" s="37" t="n">
        <v>-8136.98630111599</v>
      </c>
      <c r="H11" s="38" t="n">
        <v>-0.545454545454872</v>
      </c>
      <c r="I11" s="39" t="s">
        <v>16</v>
      </c>
    </row>
    <row r="12" customFormat="false" ht="15" hidden="false" customHeight="true" outlineLevel="0" collapsed="false">
      <c r="A12" s="23" t="s">
        <v>41</v>
      </c>
      <c r="B12" s="24" t="s">
        <v>47</v>
      </c>
      <c r="C12" s="24" t="s">
        <v>48</v>
      </c>
      <c r="D12" s="24" t="s">
        <v>44</v>
      </c>
      <c r="E12" s="25" t="n">
        <v>30379.9078566579</v>
      </c>
      <c r="F12" s="25" t="n">
        <v>30379.9078566579</v>
      </c>
      <c r="G12" s="26" t="n">
        <v>0</v>
      </c>
      <c r="H12" s="27" t="n">
        <v>0</v>
      </c>
      <c r="I12" s="23" t="s">
        <v>19</v>
      </c>
    </row>
    <row r="13" customFormat="false" ht="15" hidden="false" customHeight="true" outlineLevel="0" collapsed="false">
      <c r="A13" s="23" t="s">
        <v>49</v>
      </c>
      <c r="B13" s="24" t="s">
        <v>50</v>
      </c>
      <c r="C13" s="24" t="s">
        <v>51</v>
      </c>
      <c r="D13" s="24" t="s">
        <v>52</v>
      </c>
      <c r="E13" s="25" t="n">
        <v>4515.2145138</v>
      </c>
      <c r="F13" s="25" t="n">
        <v>4515.2145138</v>
      </c>
      <c r="G13" s="26" t="n">
        <v>0</v>
      </c>
      <c r="H13" s="27" t="n">
        <v>0</v>
      </c>
      <c r="I13" s="23" t="s">
        <v>19</v>
      </c>
    </row>
    <row r="14" customFormat="false" ht="15" hidden="false" customHeight="true" outlineLevel="0" collapsed="false">
      <c r="A14" s="34" t="s">
        <v>53</v>
      </c>
      <c r="B14" s="35" t="s">
        <v>33</v>
      </c>
      <c r="C14" s="35" t="s">
        <v>33</v>
      </c>
      <c r="D14" s="35" t="s">
        <v>33</v>
      </c>
      <c r="E14" s="36" t="n">
        <v>13203.5756853182</v>
      </c>
      <c r="F14" s="36" t="n">
        <v>5430.24842953192</v>
      </c>
      <c r="G14" s="37" t="n">
        <v>-7773.32725578626</v>
      </c>
      <c r="H14" s="38" t="n">
        <v>-0.588728950478913</v>
      </c>
      <c r="I14" s="39" t="s">
        <v>16</v>
      </c>
    </row>
    <row r="15" customFormat="false" ht="15" hidden="false" customHeight="true" outlineLevel="0" collapsed="false">
      <c r="A15" s="23" t="s">
        <v>53</v>
      </c>
      <c r="B15" s="24" t="s">
        <v>54</v>
      </c>
      <c r="C15" s="24" t="s">
        <v>55</v>
      </c>
      <c r="D15" s="24" t="s">
        <v>56</v>
      </c>
      <c r="E15" s="25" t="n">
        <v>729.311425592397</v>
      </c>
      <c r="F15" s="25" t="n">
        <v>729.311425592397</v>
      </c>
      <c r="G15" s="26" t="n">
        <v>0</v>
      </c>
      <c r="H15" s="27" t="n">
        <v>0</v>
      </c>
      <c r="I15" s="23" t="s">
        <v>19</v>
      </c>
    </row>
    <row r="16" customFormat="false" ht="15" hidden="false" customHeight="true" outlineLevel="0" collapsed="false">
      <c r="A16" s="23" t="s">
        <v>53</v>
      </c>
      <c r="B16" s="24" t="s">
        <v>57</v>
      </c>
      <c r="C16" s="24" t="s">
        <v>55</v>
      </c>
      <c r="D16" s="24" t="s">
        <v>56</v>
      </c>
      <c r="E16" s="25" t="n">
        <v>0</v>
      </c>
      <c r="F16" s="25" t="n">
        <v>0</v>
      </c>
      <c r="G16" s="26" t="n">
        <v>0</v>
      </c>
      <c r="H16" s="27"/>
      <c r="I16" s="23" t="s">
        <v>19</v>
      </c>
    </row>
    <row r="17" customFormat="false" ht="15" hidden="false" customHeight="true" outlineLevel="0" collapsed="false">
      <c r="A17" s="23" t="s">
        <v>58</v>
      </c>
      <c r="B17" s="24" t="s">
        <v>59</v>
      </c>
      <c r="C17" s="24" t="s">
        <v>60</v>
      </c>
      <c r="D17" s="24" t="s">
        <v>61</v>
      </c>
      <c r="E17" s="25" t="n">
        <v>0</v>
      </c>
      <c r="F17" s="25" t="n">
        <v>0</v>
      </c>
      <c r="G17" s="26" t="n">
        <v>0</v>
      </c>
      <c r="H17" s="27"/>
      <c r="I17" s="23" t="s">
        <v>19</v>
      </c>
    </row>
    <row r="18" customFormat="false" ht="15" hidden="false" customHeight="true" outlineLevel="0" collapsed="false">
      <c r="A18" s="23" t="s">
        <v>58</v>
      </c>
      <c r="B18" s="24" t="s">
        <v>62</v>
      </c>
      <c r="C18" s="24" t="s">
        <v>63</v>
      </c>
      <c r="D18" s="24" t="s">
        <v>64</v>
      </c>
      <c r="E18" s="25" t="n">
        <v>80076.0597249427</v>
      </c>
      <c r="F18" s="25" t="n">
        <v>80076.0597249427</v>
      </c>
      <c r="G18" s="26" t="n">
        <v>0</v>
      </c>
      <c r="H18" s="27" t="n">
        <v>0</v>
      </c>
      <c r="I18" s="23" t="s">
        <v>19</v>
      </c>
    </row>
    <row r="19" customFormat="false" ht="15" hidden="false" customHeight="true" outlineLevel="0" collapsed="false">
      <c r="A19" s="23" t="s">
        <v>58</v>
      </c>
      <c r="B19" s="24" t="s">
        <v>65</v>
      </c>
      <c r="C19" s="24" t="s">
        <v>66</v>
      </c>
      <c r="D19" s="24" t="s">
        <v>67</v>
      </c>
      <c r="E19" s="25" t="n">
        <v>12443.3937932308</v>
      </c>
      <c r="F19" s="25" t="n">
        <v>12443.3937932308</v>
      </c>
      <c r="G19" s="26" t="n">
        <v>0</v>
      </c>
      <c r="H19" s="27" t="n">
        <v>0</v>
      </c>
      <c r="I19" s="23" t="s">
        <v>19</v>
      </c>
    </row>
    <row r="20" customFormat="false" ht="15" hidden="false" customHeight="true" outlineLevel="0" collapsed="false">
      <c r="A20" s="40" t="s">
        <v>58</v>
      </c>
      <c r="B20" s="41" t="s">
        <v>68</v>
      </c>
      <c r="C20" s="41" t="s">
        <v>69</v>
      </c>
      <c r="D20" s="41" t="s">
        <v>70</v>
      </c>
      <c r="E20" s="42" t="n">
        <v>3261.59216582655</v>
      </c>
      <c r="F20" s="42" t="n">
        <v>0</v>
      </c>
      <c r="G20" s="43" t="n">
        <v>-3261.59216582655</v>
      </c>
      <c r="H20" s="44" t="n">
        <v>-1</v>
      </c>
      <c r="I20" s="45" t="s">
        <v>18</v>
      </c>
    </row>
    <row r="21" customFormat="false" ht="15" hidden="false" customHeight="true" outlineLevel="0" collapsed="false">
      <c r="A21" s="46" t="s">
        <v>58</v>
      </c>
      <c r="B21" s="47" t="s">
        <v>71</v>
      </c>
      <c r="C21" s="47" t="s">
        <v>72</v>
      </c>
      <c r="D21" s="47" t="s">
        <v>73</v>
      </c>
      <c r="E21" s="48" t="n">
        <v>0</v>
      </c>
      <c r="F21" s="48" t="n">
        <v>234.703899675</v>
      </c>
      <c r="G21" s="49" t="n">
        <v>234.703899675</v>
      </c>
      <c r="H21" s="50"/>
      <c r="I21" s="46" t="s">
        <v>17</v>
      </c>
    </row>
    <row r="22" customFormat="false" ht="15" hidden="false" customHeight="true" outlineLevel="0" collapsed="false">
      <c r="A22" s="23" t="s">
        <v>74</v>
      </c>
      <c r="B22" s="24" t="s">
        <v>75</v>
      </c>
      <c r="C22" s="24" t="s">
        <v>76</v>
      </c>
      <c r="D22" s="24" t="s">
        <v>77</v>
      </c>
      <c r="E22" s="25" t="n">
        <v>25170.5057890828</v>
      </c>
      <c r="F22" s="25" t="n">
        <v>25170.5057890828</v>
      </c>
      <c r="G22" s="26" t="n">
        <v>0</v>
      </c>
      <c r="H22" s="27" t="n">
        <v>0</v>
      </c>
      <c r="I22" s="23" t="s">
        <v>19</v>
      </c>
    </row>
    <row r="23" customFormat="false" ht="15" hidden="false" customHeight="true" outlineLevel="0" collapsed="false">
      <c r="A23" s="34" t="s">
        <v>78</v>
      </c>
      <c r="B23" s="35" t="s">
        <v>33</v>
      </c>
      <c r="C23" s="35" t="s">
        <v>33</v>
      </c>
      <c r="D23" s="35" t="s">
        <v>33</v>
      </c>
      <c r="E23" s="36" t="n">
        <v>20185.0466080382</v>
      </c>
      <c r="F23" s="36" t="n">
        <v>8891.68348988898</v>
      </c>
      <c r="G23" s="37" t="n">
        <v>-11293.3631181493</v>
      </c>
      <c r="H23" s="38" t="n">
        <v>-0.559491555181841</v>
      </c>
      <c r="I23" s="39" t="s">
        <v>16</v>
      </c>
    </row>
    <row r="24" customFormat="false" ht="15" hidden="false" customHeight="true" outlineLevel="0" collapsed="false">
      <c r="A24" s="40" t="s">
        <v>79</v>
      </c>
      <c r="B24" s="41" t="s">
        <v>33</v>
      </c>
      <c r="C24" s="41" t="s">
        <v>33</v>
      </c>
      <c r="D24" s="41" t="s">
        <v>33</v>
      </c>
      <c r="E24" s="42" t="n">
        <v>378.018842158491</v>
      </c>
      <c r="F24" s="42" t="n">
        <v>0</v>
      </c>
      <c r="G24" s="43" t="n">
        <v>-378.018842158491</v>
      </c>
      <c r="H24" s="44" t="n">
        <v>-1</v>
      </c>
      <c r="I24" s="45" t="s">
        <v>18</v>
      </c>
    </row>
    <row r="25" customFormat="false" ht="15" hidden="false" customHeight="true" outlineLevel="0" collapsed="false">
      <c r="A25" s="23" t="s">
        <v>79</v>
      </c>
      <c r="B25" s="24" t="s">
        <v>80</v>
      </c>
      <c r="C25" s="24" t="s">
        <v>81</v>
      </c>
      <c r="D25" s="24" t="s">
        <v>82</v>
      </c>
      <c r="E25" s="25" t="n">
        <v>0</v>
      </c>
      <c r="F25" s="25" t="n">
        <v>0</v>
      </c>
      <c r="G25" s="26" t="n">
        <v>0</v>
      </c>
      <c r="H25" s="27"/>
      <c r="I25" s="23" t="s">
        <v>19</v>
      </c>
    </row>
    <row r="26" customFormat="false" ht="15" hidden="false" customHeight="true" outlineLevel="0" collapsed="false">
      <c r="A26" s="23" t="s">
        <v>79</v>
      </c>
      <c r="B26" s="24" t="s">
        <v>83</v>
      </c>
      <c r="C26" s="24" t="s">
        <v>84</v>
      </c>
      <c r="D26" s="24" t="s">
        <v>85</v>
      </c>
      <c r="E26" s="25" t="n">
        <v>0</v>
      </c>
      <c r="F26" s="25" t="n">
        <v>0</v>
      </c>
      <c r="G26" s="26" t="n">
        <v>0</v>
      </c>
      <c r="H26" s="27"/>
      <c r="I26" s="23" t="s">
        <v>19</v>
      </c>
    </row>
    <row r="27" customFormat="false" ht="15" hidden="false" customHeight="true" outlineLevel="0" collapsed="false">
      <c r="A27" s="40" t="s">
        <v>79</v>
      </c>
      <c r="B27" s="41" t="s">
        <v>86</v>
      </c>
      <c r="C27" s="41" t="s">
        <v>84</v>
      </c>
      <c r="D27" s="41" t="s">
        <v>85</v>
      </c>
      <c r="E27" s="42" t="n">
        <v>5694.27938876923</v>
      </c>
      <c r="F27" s="42" t="n">
        <v>0</v>
      </c>
      <c r="G27" s="43" t="n">
        <v>-5694.27938876923</v>
      </c>
      <c r="H27" s="44" t="n">
        <v>-1</v>
      </c>
      <c r="I27" s="45" t="s">
        <v>18</v>
      </c>
    </row>
    <row r="28" customFormat="false" ht="15" hidden="false" customHeight="true" outlineLevel="0" collapsed="false">
      <c r="A28" s="40" t="s">
        <v>79</v>
      </c>
      <c r="B28" s="41" t="s">
        <v>87</v>
      </c>
      <c r="C28" s="41" t="s">
        <v>88</v>
      </c>
      <c r="D28" s="41" t="s">
        <v>89</v>
      </c>
      <c r="E28" s="42" t="n">
        <v>9635.48229172331</v>
      </c>
      <c r="F28" s="42" t="n">
        <v>0</v>
      </c>
      <c r="G28" s="43" t="n">
        <v>-9635.48229172331</v>
      </c>
      <c r="H28" s="44" t="n">
        <v>-1</v>
      </c>
      <c r="I28" s="45" t="s">
        <v>18</v>
      </c>
    </row>
    <row r="29" customFormat="false" ht="15" hidden="false" customHeight="true" outlineLevel="0" collapsed="false">
      <c r="A29" s="40" t="s">
        <v>79</v>
      </c>
      <c r="B29" s="41" t="s">
        <v>90</v>
      </c>
      <c r="C29" s="41" t="s">
        <v>91</v>
      </c>
      <c r="D29" s="41" t="s">
        <v>85</v>
      </c>
      <c r="E29" s="42" t="n">
        <v>13272.0679188662</v>
      </c>
      <c r="F29" s="42" t="n">
        <v>0</v>
      </c>
      <c r="G29" s="43" t="n">
        <v>-13272.0679188662</v>
      </c>
      <c r="H29" s="44" t="n">
        <v>-1</v>
      </c>
      <c r="I29" s="45" t="s">
        <v>18</v>
      </c>
    </row>
    <row r="30" customFormat="false" ht="15" hidden="false" customHeight="true" outlineLevel="0" collapsed="false">
      <c r="A30" s="23" t="s">
        <v>79</v>
      </c>
      <c r="B30" s="24" t="s">
        <v>92</v>
      </c>
      <c r="C30" s="24" t="s">
        <v>84</v>
      </c>
      <c r="D30" s="24" t="s">
        <v>85</v>
      </c>
      <c r="E30" s="25" t="n">
        <v>13650.01365</v>
      </c>
      <c r="F30" s="25" t="n">
        <v>13650.01365</v>
      </c>
      <c r="G30" s="26" t="n">
        <v>0</v>
      </c>
      <c r="H30" s="27" t="n">
        <v>0</v>
      </c>
      <c r="I30" s="23" t="s">
        <v>19</v>
      </c>
    </row>
    <row r="31" customFormat="false" ht="15" hidden="false" customHeight="true" outlineLevel="0" collapsed="false">
      <c r="A31" s="34" t="s">
        <v>79</v>
      </c>
      <c r="B31" s="35" t="s">
        <v>93</v>
      </c>
      <c r="C31" s="35" t="s">
        <v>84</v>
      </c>
      <c r="D31" s="35" t="s">
        <v>85</v>
      </c>
      <c r="E31" s="36" t="n">
        <v>41632.9691837033</v>
      </c>
      <c r="F31" s="36" t="n">
        <v>36504.8046383875</v>
      </c>
      <c r="G31" s="37" t="n">
        <v>-5128.16454531583</v>
      </c>
      <c r="H31" s="38" t="n">
        <v>-0.123175566044499</v>
      </c>
      <c r="I31" s="39" t="s">
        <v>16</v>
      </c>
    </row>
    <row r="32" customFormat="false" ht="15" hidden="false" customHeight="true" outlineLevel="0" collapsed="false">
      <c r="A32" s="23" t="s">
        <v>79</v>
      </c>
      <c r="B32" s="24" t="s">
        <v>94</v>
      </c>
      <c r="C32" s="24" t="s">
        <v>84</v>
      </c>
      <c r="D32" s="24" t="s">
        <v>85</v>
      </c>
      <c r="E32" s="25" t="n">
        <v>4967.22473630769</v>
      </c>
      <c r="F32" s="25" t="n">
        <v>4967.22473630769</v>
      </c>
      <c r="G32" s="26" t="n">
        <v>0</v>
      </c>
      <c r="H32" s="27" t="n">
        <v>0</v>
      </c>
      <c r="I32" s="23" t="s">
        <v>19</v>
      </c>
    </row>
    <row r="33" customFormat="false" ht="15" hidden="false" customHeight="true" outlineLevel="0" collapsed="false">
      <c r="A33" s="23" t="s">
        <v>95</v>
      </c>
      <c r="B33" s="24" t="s">
        <v>96</v>
      </c>
      <c r="C33" s="24" t="s">
        <v>97</v>
      </c>
      <c r="D33" s="24" t="s">
        <v>98</v>
      </c>
      <c r="E33" s="25" t="n">
        <v>0</v>
      </c>
      <c r="F33" s="25" t="n">
        <v>0</v>
      </c>
      <c r="G33" s="26" t="n">
        <v>0</v>
      </c>
      <c r="H33" s="27"/>
      <c r="I33" s="23" t="s">
        <v>19</v>
      </c>
    </row>
    <row r="34" customFormat="false" ht="15" hidden="false" customHeight="true" outlineLevel="0" collapsed="false">
      <c r="A34" s="23" t="s">
        <v>95</v>
      </c>
      <c r="B34" s="24" t="s">
        <v>99</v>
      </c>
      <c r="C34" s="24" t="s">
        <v>97</v>
      </c>
      <c r="D34" s="24" t="s">
        <v>98</v>
      </c>
      <c r="E34" s="25" t="n">
        <v>4874.67487471429</v>
      </c>
      <c r="F34" s="25" t="n">
        <v>4874.67487471429</v>
      </c>
      <c r="G34" s="26" t="n">
        <v>0</v>
      </c>
      <c r="H34" s="27" t="n">
        <v>0</v>
      </c>
      <c r="I34" s="23" t="s">
        <v>19</v>
      </c>
    </row>
    <row r="35" customFormat="false" ht="15" hidden="false" customHeight="true" outlineLevel="0" collapsed="false">
      <c r="A35" s="34" t="s">
        <v>95</v>
      </c>
      <c r="B35" s="35" t="s">
        <v>100</v>
      </c>
      <c r="C35" s="35" t="s">
        <v>97</v>
      </c>
      <c r="D35" s="35" t="s">
        <v>98</v>
      </c>
      <c r="E35" s="36" t="n">
        <v>21873.6218726667</v>
      </c>
      <c r="F35" s="36" t="n">
        <v>1837.50183751899</v>
      </c>
      <c r="G35" s="37" t="n">
        <v>-20036.1200351477</v>
      </c>
      <c r="H35" s="38" t="n">
        <v>-0.915994623651462</v>
      </c>
      <c r="I35" s="39" t="s">
        <v>16</v>
      </c>
    </row>
    <row r="36" customFormat="false" ht="15" hidden="false" customHeight="true" outlineLevel="0" collapsed="false">
      <c r="A36" s="28" t="s">
        <v>101</v>
      </c>
      <c r="B36" s="29" t="s">
        <v>102</v>
      </c>
      <c r="C36" s="29" t="s">
        <v>103</v>
      </c>
      <c r="D36" s="29" t="s">
        <v>104</v>
      </c>
      <c r="E36" s="30" t="n">
        <v>5234.87516628399</v>
      </c>
      <c r="F36" s="30" t="n">
        <v>15704.625498852</v>
      </c>
      <c r="G36" s="31" t="n">
        <v>10469.750332568</v>
      </c>
      <c r="H36" s="32" t="n">
        <v>2</v>
      </c>
      <c r="I36" s="33" t="s">
        <v>15</v>
      </c>
    </row>
    <row r="37" customFormat="false" ht="15" hidden="false" customHeight="true" outlineLevel="0" collapsed="false">
      <c r="A37" s="23" t="s">
        <v>101</v>
      </c>
      <c r="B37" s="24" t="s">
        <v>105</v>
      </c>
      <c r="C37" s="24" t="s">
        <v>106</v>
      </c>
      <c r="D37" s="24" t="s">
        <v>104</v>
      </c>
      <c r="E37" s="25" t="n">
        <v>0</v>
      </c>
      <c r="F37" s="25" t="n">
        <v>0</v>
      </c>
      <c r="G37" s="26" t="n">
        <v>0</v>
      </c>
      <c r="H37" s="27"/>
      <c r="I37" s="23" t="s">
        <v>19</v>
      </c>
    </row>
    <row r="38" customFormat="false" ht="15" hidden="false" customHeight="true" outlineLevel="0" collapsed="false">
      <c r="A38" s="23" t="s">
        <v>107</v>
      </c>
      <c r="B38" s="24" t="s">
        <v>108</v>
      </c>
      <c r="C38" s="24" t="s">
        <v>109</v>
      </c>
      <c r="D38" s="24" t="s">
        <v>110</v>
      </c>
      <c r="E38" s="25" t="n">
        <v>1260.38961054546</v>
      </c>
      <c r="F38" s="25" t="n">
        <v>1260.38961054546</v>
      </c>
      <c r="G38" s="26" t="n">
        <v>0</v>
      </c>
      <c r="H38" s="27" t="n">
        <v>0</v>
      </c>
      <c r="I38" s="23" t="s">
        <v>19</v>
      </c>
    </row>
    <row r="39" customFormat="false" ht="15" hidden="false" customHeight="true" outlineLevel="0" collapsed="false">
      <c r="A39" s="23" t="s">
        <v>107</v>
      </c>
      <c r="B39" s="24" t="s">
        <v>111</v>
      </c>
      <c r="C39" s="24" t="s">
        <v>112</v>
      </c>
      <c r="D39" s="24" t="s">
        <v>113</v>
      </c>
      <c r="E39" s="25" t="n">
        <v>18708.9947078889</v>
      </c>
      <c r="F39" s="25" t="n">
        <v>18708.9947078889</v>
      </c>
      <c r="G39" s="26" t="n">
        <v>0</v>
      </c>
      <c r="H39" s="27" t="n">
        <v>0</v>
      </c>
      <c r="I39" s="23" t="s">
        <v>19</v>
      </c>
    </row>
    <row r="40" customFormat="false" ht="15" hidden="false" customHeight="true" outlineLevel="0" collapsed="false">
      <c r="A40" s="23" t="s">
        <v>107</v>
      </c>
      <c r="B40" s="24" t="s">
        <v>114</v>
      </c>
      <c r="C40" s="24" t="s">
        <v>115</v>
      </c>
      <c r="D40" s="24" t="s">
        <v>116</v>
      </c>
      <c r="E40" s="25" t="n">
        <v>4452.38095231818</v>
      </c>
      <c r="F40" s="25" t="n">
        <v>4452.38095231818</v>
      </c>
      <c r="G40" s="26" t="n">
        <v>0</v>
      </c>
      <c r="H40" s="27" t="n">
        <v>0</v>
      </c>
      <c r="I40" s="23" t="s">
        <v>19</v>
      </c>
    </row>
    <row r="41" customFormat="false" ht="15" hidden="false" customHeight="true" outlineLevel="0" collapsed="false">
      <c r="A41" s="23" t="s">
        <v>107</v>
      </c>
      <c r="B41" s="24" t="s">
        <v>117</v>
      </c>
      <c r="C41" s="24" t="s">
        <v>118</v>
      </c>
      <c r="D41" s="24" t="s">
        <v>113</v>
      </c>
      <c r="E41" s="25" t="n">
        <v>26313.7480817097</v>
      </c>
      <c r="F41" s="25" t="n">
        <v>26313.7480817097</v>
      </c>
      <c r="G41" s="26" t="n">
        <v>0</v>
      </c>
      <c r="H41" s="27" t="n">
        <v>0</v>
      </c>
      <c r="I41" s="23" t="s">
        <v>19</v>
      </c>
    </row>
    <row r="42" customFormat="false" ht="15" hidden="false" customHeight="true" outlineLevel="0" collapsed="false">
      <c r="A42" s="23" t="s">
        <v>107</v>
      </c>
      <c r="B42" s="24" t="s">
        <v>119</v>
      </c>
      <c r="C42" s="24" t="s">
        <v>120</v>
      </c>
      <c r="D42" s="24" t="s">
        <v>113</v>
      </c>
      <c r="E42" s="25" t="n">
        <v>89.4180775555556</v>
      </c>
      <c r="F42" s="25" t="n">
        <v>89.4180775555556</v>
      </c>
      <c r="G42" s="26" t="n">
        <v>0</v>
      </c>
      <c r="H42" s="27" t="n">
        <v>0</v>
      </c>
      <c r="I42" s="23" t="s">
        <v>19</v>
      </c>
    </row>
    <row r="43" customFormat="false" ht="15" hidden="false" customHeight="true" outlineLevel="0" collapsed="false">
      <c r="A43" s="28" t="s">
        <v>107</v>
      </c>
      <c r="B43" s="29" t="s">
        <v>121</v>
      </c>
      <c r="C43" s="29" t="s">
        <v>122</v>
      </c>
      <c r="D43" s="29" t="s">
        <v>113</v>
      </c>
      <c r="E43" s="30" t="n">
        <v>7175.32467509091</v>
      </c>
      <c r="F43" s="30" t="n">
        <v>7225.27472507692</v>
      </c>
      <c r="G43" s="31" t="n">
        <v>49.9500499860151</v>
      </c>
      <c r="H43" s="32" t="n">
        <v>0.00696136443266691</v>
      </c>
      <c r="I43" s="33" t="s">
        <v>15</v>
      </c>
    </row>
    <row r="44" customFormat="false" ht="15" hidden="false" customHeight="true" outlineLevel="0" collapsed="false">
      <c r="A44" s="28" t="s">
        <v>107</v>
      </c>
      <c r="B44" s="29" t="s">
        <v>123</v>
      </c>
      <c r="C44" s="29" t="s">
        <v>124</v>
      </c>
      <c r="D44" s="29" t="s">
        <v>116</v>
      </c>
      <c r="E44" s="30" t="n">
        <v>11097.6190475</v>
      </c>
      <c r="F44" s="30" t="n">
        <v>19291.9047632</v>
      </c>
      <c r="G44" s="31" t="n">
        <v>8194.2857157</v>
      </c>
      <c r="H44" s="32" t="n">
        <v>0.738382321525621</v>
      </c>
      <c r="I44" s="33" t="s">
        <v>15</v>
      </c>
    </row>
    <row r="45" customFormat="false" ht="15" hidden="false" customHeight="true" outlineLevel="0" collapsed="false">
      <c r="A45" s="46" t="s">
        <v>107</v>
      </c>
      <c r="B45" s="47" t="s">
        <v>125</v>
      </c>
      <c r="C45" s="47" t="s">
        <v>122</v>
      </c>
      <c r="D45" s="47" t="s">
        <v>113</v>
      </c>
      <c r="E45" s="48" t="n">
        <v>0</v>
      </c>
      <c r="F45" s="48" t="n">
        <v>357.142857333333</v>
      </c>
      <c r="G45" s="49" t="n">
        <v>357.142857333333</v>
      </c>
      <c r="H45" s="50"/>
      <c r="I45" s="46" t="s">
        <v>17</v>
      </c>
    </row>
    <row r="46" customFormat="false" ht="15" hidden="false" customHeight="true" outlineLevel="0" collapsed="false">
      <c r="A46" s="23" t="s">
        <v>107</v>
      </c>
      <c r="B46" s="24" t="s">
        <v>126</v>
      </c>
      <c r="C46" s="24" t="s">
        <v>109</v>
      </c>
      <c r="D46" s="24" t="s">
        <v>110</v>
      </c>
      <c r="E46" s="25" t="n">
        <v>22277.8378381622</v>
      </c>
      <c r="F46" s="25" t="n">
        <v>22277.8378381622</v>
      </c>
      <c r="G46" s="26" t="n">
        <v>0</v>
      </c>
      <c r="H46" s="27" t="n">
        <v>0</v>
      </c>
      <c r="I46" s="23" t="s">
        <v>19</v>
      </c>
    </row>
    <row r="47" customFormat="false" ht="15" hidden="false" customHeight="true" outlineLevel="0" collapsed="false">
      <c r="A47" s="23" t="s">
        <v>107</v>
      </c>
      <c r="B47" s="24" t="s">
        <v>127</v>
      </c>
      <c r="C47" s="24" t="s">
        <v>128</v>
      </c>
      <c r="D47" s="24" t="s">
        <v>129</v>
      </c>
      <c r="E47" s="25" t="n">
        <v>5529.3714282</v>
      </c>
      <c r="F47" s="25" t="n">
        <v>5529.3714282</v>
      </c>
      <c r="G47" s="26" t="n">
        <v>0</v>
      </c>
      <c r="H47" s="27" t="n">
        <v>0</v>
      </c>
      <c r="I47" s="23" t="s">
        <v>19</v>
      </c>
    </row>
    <row r="48" customFormat="false" ht="15" hidden="false" customHeight="true" outlineLevel="0" collapsed="false">
      <c r="A48" s="40" t="s">
        <v>107</v>
      </c>
      <c r="B48" s="41" t="s">
        <v>130</v>
      </c>
      <c r="C48" s="41" t="s">
        <v>115</v>
      </c>
      <c r="D48" s="41" t="s">
        <v>116</v>
      </c>
      <c r="E48" s="42" t="n">
        <v>4098.5278078855</v>
      </c>
      <c r="F48" s="42" t="n">
        <v>0</v>
      </c>
      <c r="G48" s="43" t="n">
        <v>-4098.5278078855</v>
      </c>
      <c r="H48" s="44" t="n">
        <v>-1</v>
      </c>
      <c r="I48" s="45" t="s">
        <v>18</v>
      </c>
    </row>
    <row r="49" customFormat="false" ht="15" hidden="false" customHeight="true" outlineLevel="0" collapsed="false">
      <c r="A49" s="23" t="s">
        <v>107</v>
      </c>
      <c r="B49" s="24" t="s">
        <v>131</v>
      </c>
      <c r="C49" s="24" t="s">
        <v>132</v>
      </c>
      <c r="D49" s="24" t="s">
        <v>133</v>
      </c>
      <c r="E49" s="25" t="n">
        <v>747.619047666667</v>
      </c>
      <c r="F49" s="25" t="n">
        <v>747.619047666667</v>
      </c>
      <c r="G49" s="26" t="n">
        <v>0</v>
      </c>
      <c r="H49" s="27" t="n">
        <v>0</v>
      </c>
      <c r="I49" s="23" t="s">
        <v>19</v>
      </c>
    </row>
    <row r="50" customFormat="false" ht="15" hidden="false" customHeight="true" outlineLevel="0" collapsed="false">
      <c r="A50" s="23" t="s">
        <v>107</v>
      </c>
      <c r="B50" s="24" t="s">
        <v>134</v>
      </c>
      <c r="C50" s="24" t="s">
        <v>124</v>
      </c>
      <c r="D50" s="24" t="s">
        <v>116</v>
      </c>
      <c r="E50" s="25" t="n">
        <v>0</v>
      </c>
      <c r="F50" s="25" t="n">
        <v>0</v>
      </c>
      <c r="G50" s="26" t="n">
        <v>0</v>
      </c>
      <c r="H50" s="27"/>
      <c r="I50" s="23" t="s">
        <v>19</v>
      </c>
    </row>
    <row r="51" customFormat="false" ht="15" hidden="false" customHeight="true" outlineLevel="0" collapsed="false">
      <c r="A51" s="23" t="s">
        <v>107</v>
      </c>
      <c r="B51" s="24" t="s">
        <v>135</v>
      </c>
      <c r="C51" s="24" t="s">
        <v>109</v>
      </c>
      <c r="D51" s="24" t="s">
        <v>110</v>
      </c>
      <c r="E51" s="25" t="n">
        <v>18514.2857152</v>
      </c>
      <c r="F51" s="25" t="n">
        <v>18514.2857152</v>
      </c>
      <c r="G51" s="26" t="n">
        <v>0</v>
      </c>
      <c r="H51" s="27" t="n">
        <v>0</v>
      </c>
      <c r="I51" s="23" t="s">
        <v>19</v>
      </c>
    </row>
    <row r="52" customFormat="false" ht="15" hidden="false" customHeight="true" outlineLevel="0" collapsed="false">
      <c r="A52" s="23" t="s">
        <v>107</v>
      </c>
      <c r="B52" s="24" t="s">
        <v>136</v>
      </c>
      <c r="C52" s="24" t="s">
        <v>115</v>
      </c>
      <c r="D52" s="24" t="s">
        <v>116</v>
      </c>
      <c r="E52" s="25" t="n">
        <v>7557.14285721622</v>
      </c>
      <c r="F52" s="25" t="n">
        <v>7557.14285721622</v>
      </c>
      <c r="G52" s="26" t="n">
        <v>0</v>
      </c>
      <c r="H52" s="27" t="n">
        <v>0</v>
      </c>
      <c r="I52" s="23" t="s">
        <v>19</v>
      </c>
    </row>
    <row r="53" customFormat="false" ht="15" hidden="false" customHeight="true" outlineLevel="0" collapsed="false">
      <c r="A53" s="34" t="s">
        <v>107</v>
      </c>
      <c r="B53" s="35" t="s">
        <v>137</v>
      </c>
      <c r="C53" s="35" t="s">
        <v>112</v>
      </c>
      <c r="D53" s="35" t="s">
        <v>113</v>
      </c>
      <c r="E53" s="36" t="n">
        <v>11408.9265274484</v>
      </c>
      <c r="F53" s="36" t="n">
        <v>11408.9265274471</v>
      </c>
      <c r="G53" s="37" t="n">
        <v>-1.32422428578138E-009</v>
      </c>
      <c r="H53" s="38" t="n">
        <v>-1.1606913959832E-013</v>
      </c>
      <c r="I53" s="39" t="s">
        <v>16</v>
      </c>
    </row>
    <row r="54" customFormat="false" ht="15" hidden="false" customHeight="true" outlineLevel="0" collapsed="false">
      <c r="A54" s="23" t="s">
        <v>107</v>
      </c>
      <c r="B54" s="24" t="s">
        <v>138</v>
      </c>
      <c r="C54" s="24" t="s">
        <v>109</v>
      </c>
      <c r="D54" s="24" t="s">
        <v>110</v>
      </c>
      <c r="E54" s="25" t="n">
        <v>0</v>
      </c>
      <c r="F54" s="25" t="n">
        <v>0</v>
      </c>
      <c r="G54" s="26" t="n">
        <v>0</v>
      </c>
      <c r="H54" s="27"/>
      <c r="I54" s="23" t="s">
        <v>19</v>
      </c>
    </row>
    <row r="55" customFormat="false" ht="15" hidden="false" customHeight="true" outlineLevel="0" collapsed="false">
      <c r="A55" s="23" t="s">
        <v>139</v>
      </c>
      <c r="B55" s="24" t="s">
        <v>33</v>
      </c>
      <c r="C55" s="24" t="s">
        <v>33</v>
      </c>
      <c r="D55" s="24" t="s">
        <v>33</v>
      </c>
      <c r="E55" s="25" t="n">
        <v>0</v>
      </c>
      <c r="F55" s="25" t="n">
        <v>0</v>
      </c>
      <c r="G55" s="26" t="n">
        <v>0</v>
      </c>
      <c r="H55" s="27"/>
      <c r="I55" s="23" t="s">
        <v>19</v>
      </c>
    </row>
    <row r="56" customFormat="false" ht="15" hidden="false" customHeight="true" outlineLevel="0" collapsed="false">
      <c r="A56" s="23" t="s">
        <v>139</v>
      </c>
      <c r="B56" s="24" t="s">
        <v>140</v>
      </c>
      <c r="C56" s="24" t="s">
        <v>141</v>
      </c>
      <c r="D56" s="24" t="s">
        <v>142</v>
      </c>
      <c r="E56" s="25" t="n">
        <v>2586.98480924444</v>
      </c>
      <c r="F56" s="25" t="n">
        <v>2586.98480924444</v>
      </c>
      <c r="G56" s="26" t="n">
        <v>0</v>
      </c>
      <c r="H56" s="27" t="n">
        <v>0</v>
      </c>
      <c r="I56" s="23" t="s">
        <v>19</v>
      </c>
    </row>
    <row r="57" customFormat="false" ht="15" hidden="false" customHeight="true" outlineLevel="0" collapsed="false">
      <c r="A57" s="34" t="s">
        <v>139</v>
      </c>
      <c r="B57" s="35" t="s">
        <v>143</v>
      </c>
      <c r="C57" s="35" t="s">
        <v>144</v>
      </c>
      <c r="D57" s="35" t="s">
        <v>142</v>
      </c>
      <c r="E57" s="36" t="n">
        <v>6197.33953</v>
      </c>
      <c r="F57" s="36" t="n">
        <v>1580.8620457907</v>
      </c>
      <c r="G57" s="37" t="n">
        <v>-4616.4774842093</v>
      </c>
      <c r="H57" s="38" t="n">
        <v>-0.744912790700254</v>
      </c>
      <c r="I57" s="39" t="s">
        <v>16</v>
      </c>
    </row>
    <row r="58" customFormat="false" ht="15" hidden="false" customHeight="true" outlineLevel="0" collapsed="false">
      <c r="A58" s="23" t="s">
        <v>139</v>
      </c>
      <c r="B58" s="24" t="s">
        <v>145</v>
      </c>
      <c r="C58" s="24" t="s">
        <v>141</v>
      </c>
      <c r="D58" s="24" t="s">
        <v>142</v>
      </c>
      <c r="E58" s="25" t="n">
        <v>0</v>
      </c>
      <c r="F58" s="25" t="n">
        <v>0</v>
      </c>
      <c r="G58" s="26" t="n">
        <v>0</v>
      </c>
      <c r="H58" s="27"/>
      <c r="I58" s="23" t="s">
        <v>19</v>
      </c>
    </row>
    <row r="59" customFormat="false" ht="15" hidden="false" customHeight="true" outlineLevel="0" collapsed="false">
      <c r="A59" s="23" t="s">
        <v>146</v>
      </c>
      <c r="B59" s="24" t="s">
        <v>33</v>
      </c>
      <c r="C59" s="24" t="s">
        <v>33</v>
      </c>
      <c r="D59" s="24" t="s">
        <v>33</v>
      </c>
      <c r="E59" s="25" t="n">
        <v>0</v>
      </c>
      <c r="F59" s="25" t="n">
        <v>0</v>
      </c>
      <c r="G59" s="26" t="n">
        <v>0</v>
      </c>
      <c r="H59" s="27"/>
      <c r="I59" s="23" t="s">
        <v>19</v>
      </c>
    </row>
    <row r="60" customFormat="false" ht="15" hidden="false" customHeight="true" outlineLevel="0" collapsed="false">
      <c r="A60" s="23" t="s">
        <v>147</v>
      </c>
      <c r="B60" s="24" t="s">
        <v>33</v>
      </c>
      <c r="C60" s="24" t="s">
        <v>33</v>
      </c>
      <c r="D60" s="24" t="s">
        <v>33</v>
      </c>
      <c r="E60" s="25" t="n">
        <v>3193.74262982353</v>
      </c>
      <c r="F60" s="25" t="n">
        <v>3193.74262982353</v>
      </c>
      <c r="G60" s="26" t="n">
        <v>0</v>
      </c>
      <c r="H60" s="27" t="n">
        <v>0</v>
      </c>
      <c r="I60" s="23" t="s">
        <v>19</v>
      </c>
    </row>
    <row r="61" customFormat="false" ht="15" hidden="false" customHeight="true" outlineLevel="0" collapsed="false">
      <c r="A61" s="23" t="s">
        <v>147</v>
      </c>
      <c r="B61" s="24" t="s">
        <v>148</v>
      </c>
      <c r="C61" s="24" t="s">
        <v>149</v>
      </c>
      <c r="D61" s="24" t="s">
        <v>150</v>
      </c>
      <c r="E61" s="25" t="n">
        <v>9111.184205</v>
      </c>
      <c r="F61" s="25" t="n">
        <v>9111.184205</v>
      </c>
      <c r="G61" s="26" t="n">
        <v>0</v>
      </c>
      <c r="H61" s="27" t="n">
        <v>0</v>
      </c>
      <c r="I61" s="23" t="s">
        <v>19</v>
      </c>
    </row>
    <row r="62" customFormat="false" ht="15" hidden="false" customHeight="true" outlineLevel="0" collapsed="false">
      <c r="A62" s="40" t="s">
        <v>151</v>
      </c>
      <c r="B62" s="41" t="s">
        <v>33</v>
      </c>
      <c r="C62" s="41" t="s">
        <v>33</v>
      </c>
      <c r="D62" s="41" t="s">
        <v>33</v>
      </c>
      <c r="E62" s="42" t="n">
        <v>119.883616286932</v>
      </c>
      <c r="F62" s="42" t="n">
        <v>0</v>
      </c>
      <c r="G62" s="43" t="n">
        <v>-119.883616286932</v>
      </c>
      <c r="H62" s="44" t="n">
        <v>-1</v>
      </c>
      <c r="I62" s="45" t="s">
        <v>18</v>
      </c>
    </row>
    <row r="63" customFormat="false" ht="15" hidden="false" customHeight="true" outlineLevel="0" collapsed="false">
      <c r="A63" s="23" t="s">
        <v>151</v>
      </c>
      <c r="B63" s="24" t="s">
        <v>152</v>
      </c>
      <c r="C63" s="24" t="s">
        <v>153</v>
      </c>
      <c r="D63" s="24" t="s">
        <v>154</v>
      </c>
      <c r="E63" s="25" t="n">
        <v>26873.859107875</v>
      </c>
      <c r="F63" s="25" t="n">
        <v>26873.859107875</v>
      </c>
      <c r="G63" s="26" t="n">
        <v>0</v>
      </c>
      <c r="H63" s="27" t="n">
        <v>0</v>
      </c>
      <c r="I63" s="23" t="s">
        <v>19</v>
      </c>
    </row>
    <row r="64" customFormat="false" ht="15" hidden="false" customHeight="true" outlineLevel="0" collapsed="false">
      <c r="A64" s="23" t="s">
        <v>151</v>
      </c>
      <c r="B64" s="24" t="s">
        <v>155</v>
      </c>
      <c r="C64" s="24" t="s">
        <v>156</v>
      </c>
      <c r="D64" s="24" t="s">
        <v>157</v>
      </c>
      <c r="E64" s="25" t="n">
        <v>1047.81004791667</v>
      </c>
      <c r="F64" s="25" t="n">
        <v>1047.81004791667</v>
      </c>
      <c r="G64" s="26" t="n">
        <v>0</v>
      </c>
      <c r="H64" s="27" t="n">
        <v>0</v>
      </c>
      <c r="I64" s="23" t="s">
        <v>19</v>
      </c>
    </row>
    <row r="65" customFormat="false" ht="15" hidden="false" customHeight="true" outlineLevel="0" collapsed="false">
      <c r="A65" s="23" t="s">
        <v>151</v>
      </c>
      <c r="B65" s="24" t="s">
        <v>158</v>
      </c>
      <c r="C65" s="24" t="s">
        <v>157</v>
      </c>
      <c r="D65" s="24" t="s">
        <v>159</v>
      </c>
      <c r="E65" s="25" t="n">
        <v>252.105252020896</v>
      </c>
      <c r="F65" s="25" t="n">
        <v>252.105252020896</v>
      </c>
      <c r="G65" s="26" t="n">
        <v>0</v>
      </c>
      <c r="H65" s="27" t="n">
        <v>0</v>
      </c>
      <c r="I65" s="23" t="s">
        <v>19</v>
      </c>
    </row>
    <row r="66" customFormat="false" ht="15" hidden="false" customHeight="true" outlineLevel="0" collapsed="false">
      <c r="A66" s="23" t="s">
        <v>151</v>
      </c>
      <c r="B66" s="24" t="s">
        <v>160</v>
      </c>
      <c r="C66" s="24" t="s">
        <v>153</v>
      </c>
      <c r="D66" s="24" t="s">
        <v>154</v>
      </c>
      <c r="E66" s="25" t="n">
        <v>19062.8531309619</v>
      </c>
      <c r="F66" s="25" t="n">
        <v>19062.8531309619</v>
      </c>
      <c r="G66" s="26" t="n">
        <v>0</v>
      </c>
      <c r="H66" s="27" t="n">
        <v>0</v>
      </c>
      <c r="I66" s="23" t="s">
        <v>19</v>
      </c>
    </row>
    <row r="67" customFormat="false" ht="15" hidden="false" customHeight="true" outlineLevel="0" collapsed="false">
      <c r="A67" s="23" t="s">
        <v>151</v>
      </c>
      <c r="B67" s="24" t="s">
        <v>161</v>
      </c>
      <c r="C67" s="24" t="s">
        <v>162</v>
      </c>
      <c r="D67" s="24" t="s">
        <v>163</v>
      </c>
      <c r="E67" s="25" t="n">
        <v>0</v>
      </c>
      <c r="F67" s="25" t="n">
        <v>0</v>
      </c>
      <c r="G67" s="26" t="n">
        <v>0</v>
      </c>
      <c r="H67" s="27"/>
      <c r="I67" s="23" t="s">
        <v>19</v>
      </c>
    </row>
    <row r="68" customFormat="false" ht="15" hidden="false" customHeight="true" outlineLevel="0" collapsed="false">
      <c r="A68" s="23" t="s">
        <v>151</v>
      </c>
      <c r="B68" s="24" t="s">
        <v>164</v>
      </c>
      <c r="C68" s="24" t="s">
        <v>165</v>
      </c>
      <c r="D68" s="24" t="s">
        <v>166</v>
      </c>
      <c r="E68" s="25" t="n">
        <v>33893.1356520319</v>
      </c>
      <c r="F68" s="25" t="n">
        <v>33893.1356520319</v>
      </c>
      <c r="G68" s="26" t="n">
        <v>0</v>
      </c>
      <c r="H68" s="27" t="n">
        <v>0</v>
      </c>
      <c r="I68" s="23" t="s">
        <v>19</v>
      </c>
    </row>
    <row r="69" customFormat="false" ht="15" hidden="false" customHeight="true" outlineLevel="0" collapsed="false">
      <c r="A69" s="23" t="s">
        <v>151</v>
      </c>
      <c r="B69" s="24" t="s">
        <v>167</v>
      </c>
      <c r="C69" s="24" t="s">
        <v>168</v>
      </c>
      <c r="D69" s="24" t="s">
        <v>169</v>
      </c>
      <c r="E69" s="25" t="n">
        <v>8055.58625573333</v>
      </c>
      <c r="F69" s="25" t="n">
        <v>8055.58625573333</v>
      </c>
      <c r="G69" s="26" t="n">
        <v>0</v>
      </c>
      <c r="H69" s="27" t="n">
        <v>0</v>
      </c>
      <c r="I69" s="23" t="s">
        <v>19</v>
      </c>
    </row>
    <row r="70" customFormat="false" ht="15" hidden="false" customHeight="true" outlineLevel="0" collapsed="false">
      <c r="A70" s="23" t="s">
        <v>151</v>
      </c>
      <c r="B70" s="24" t="s">
        <v>170</v>
      </c>
      <c r="C70" s="24" t="s">
        <v>162</v>
      </c>
      <c r="D70" s="24" t="s">
        <v>163</v>
      </c>
      <c r="E70" s="25" t="n">
        <v>9965.42446521826</v>
      </c>
      <c r="F70" s="25" t="n">
        <v>9965.42446521826</v>
      </c>
      <c r="G70" s="26" t="n">
        <v>0</v>
      </c>
      <c r="H70" s="27" t="n">
        <v>0</v>
      </c>
      <c r="I70" s="23" t="s">
        <v>19</v>
      </c>
    </row>
    <row r="71" customFormat="false" ht="15" hidden="false" customHeight="true" outlineLevel="0" collapsed="false">
      <c r="A71" s="23" t="s">
        <v>151</v>
      </c>
      <c r="B71" s="24" t="s">
        <v>171</v>
      </c>
      <c r="C71" s="24" t="s">
        <v>172</v>
      </c>
      <c r="D71" s="24" t="s">
        <v>157</v>
      </c>
      <c r="E71" s="25" t="n">
        <v>1140.14480672222</v>
      </c>
      <c r="F71" s="25" t="n">
        <v>1140.14480672222</v>
      </c>
      <c r="G71" s="26" t="n">
        <v>0</v>
      </c>
      <c r="H71" s="27" t="n">
        <v>0</v>
      </c>
      <c r="I71" s="23" t="s">
        <v>19</v>
      </c>
    </row>
    <row r="72" customFormat="false" ht="15" hidden="false" customHeight="true" outlineLevel="0" collapsed="false">
      <c r="A72" s="23" t="s">
        <v>151</v>
      </c>
      <c r="B72" s="24" t="s">
        <v>173</v>
      </c>
      <c r="C72" s="24" t="s">
        <v>174</v>
      </c>
      <c r="D72" s="24" t="s">
        <v>175</v>
      </c>
      <c r="E72" s="25" t="n">
        <v>854.027353571428</v>
      </c>
      <c r="F72" s="25" t="n">
        <v>854.027353571428</v>
      </c>
      <c r="G72" s="26" t="n">
        <v>0</v>
      </c>
      <c r="H72" s="27" t="n">
        <v>0</v>
      </c>
      <c r="I72" s="23" t="s">
        <v>19</v>
      </c>
    </row>
    <row r="73" customFormat="false" ht="15" hidden="false" customHeight="true" outlineLevel="0" collapsed="false">
      <c r="A73" s="23" t="s">
        <v>151</v>
      </c>
      <c r="B73" s="24" t="s">
        <v>176</v>
      </c>
      <c r="C73" s="24" t="s">
        <v>153</v>
      </c>
      <c r="D73" s="24" t="s">
        <v>154</v>
      </c>
      <c r="E73" s="25" t="n">
        <v>48263.298259</v>
      </c>
      <c r="F73" s="25" t="n">
        <v>48263.298259</v>
      </c>
      <c r="G73" s="26" t="n">
        <v>0</v>
      </c>
      <c r="H73" s="27" t="n">
        <v>0</v>
      </c>
      <c r="I73" s="23" t="s">
        <v>19</v>
      </c>
    </row>
    <row r="74" customFormat="false" ht="15" hidden="false" customHeight="true" outlineLevel="0" collapsed="false">
      <c r="A74" s="23" t="s">
        <v>151</v>
      </c>
      <c r="B74" s="24" t="s">
        <v>177</v>
      </c>
      <c r="C74" s="24" t="s">
        <v>178</v>
      </c>
      <c r="D74" s="24" t="s">
        <v>179</v>
      </c>
      <c r="E74" s="25" t="n">
        <v>35340.9172041494</v>
      </c>
      <c r="F74" s="25" t="n">
        <v>35340.9172041494</v>
      </c>
      <c r="G74" s="26" t="n">
        <v>0</v>
      </c>
      <c r="H74" s="27" t="n">
        <v>0</v>
      </c>
      <c r="I74" s="23" t="s">
        <v>19</v>
      </c>
    </row>
    <row r="75" customFormat="false" ht="15" hidden="false" customHeight="true" outlineLevel="0" collapsed="false">
      <c r="A75" s="23" t="s">
        <v>151</v>
      </c>
      <c r="B75" s="24" t="s">
        <v>180</v>
      </c>
      <c r="C75" s="24" t="s">
        <v>156</v>
      </c>
      <c r="D75" s="24" t="s">
        <v>157</v>
      </c>
      <c r="E75" s="25" t="n">
        <v>3124.58552168966</v>
      </c>
      <c r="F75" s="25" t="n">
        <v>3124.58552168966</v>
      </c>
      <c r="G75" s="26" t="n">
        <v>0</v>
      </c>
      <c r="H75" s="27" t="n">
        <v>0</v>
      </c>
      <c r="I75" s="23" t="s">
        <v>19</v>
      </c>
    </row>
    <row r="76" customFormat="false" ht="15" hidden="false" customHeight="true" outlineLevel="0" collapsed="false">
      <c r="A76" s="23" t="s">
        <v>151</v>
      </c>
      <c r="B76" s="24" t="s">
        <v>181</v>
      </c>
      <c r="C76" s="24" t="s">
        <v>182</v>
      </c>
      <c r="D76" s="24" t="s">
        <v>183</v>
      </c>
      <c r="E76" s="25" t="n">
        <v>0</v>
      </c>
      <c r="F76" s="25" t="n">
        <v>0</v>
      </c>
      <c r="G76" s="26" t="n">
        <v>0</v>
      </c>
      <c r="H76" s="27"/>
      <c r="I76" s="23" t="s">
        <v>19</v>
      </c>
    </row>
    <row r="77" customFormat="false" ht="15" hidden="false" customHeight="true" outlineLevel="0" collapsed="false">
      <c r="A77" s="34" t="s">
        <v>151</v>
      </c>
      <c r="B77" s="35" t="s">
        <v>184</v>
      </c>
      <c r="C77" s="35" t="s">
        <v>185</v>
      </c>
      <c r="D77" s="35" t="s">
        <v>169</v>
      </c>
      <c r="E77" s="36" t="n">
        <v>14868.014864</v>
      </c>
      <c r="F77" s="36" t="n">
        <v>11151.011148</v>
      </c>
      <c r="G77" s="37" t="n">
        <v>-3717.003716</v>
      </c>
      <c r="H77" s="38" t="n">
        <v>-0.25</v>
      </c>
      <c r="I77" s="39" t="s">
        <v>16</v>
      </c>
    </row>
    <row r="78" customFormat="false" ht="15" hidden="false" customHeight="true" outlineLevel="0" collapsed="false">
      <c r="A78" s="23" t="s">
        <v>151</v>
      </c>
      <c r="B78" s="24" t="s">
        <v>186</v>
      </c>
      <c r="C78" s="24" t="s">
        <v>178</v>
      </c>
      <c r="D78" s="24" t="s">
        <v>179</v>
      </c>
      <c r="E78" s="25" t="n">
        <v>31820.7960808197</v>
      </c>
      <c r="F78" s="25" t="n">
        <v>31820.7960808197</v>
      </c>
      <c r="G78" s="26" t="n">
        <v>0</v>
      </c>
      <c r="H78" s="27" t="n">
        <v>0</v>
      </c>
      <c r="I78" s="23" t="s">
        <v>19</v>
      </c>
    </row>
    <row r="79" customFormat="false" ht="15" hidden="false" customHeight="true" outlineLevel="0" collapsed="false">
      <c r="A79" s="23" t="s">
        <v>151</v>
      </c>
      <c r="B79" s="24" t="s">
        <v>187</v>
      </c>
      <c r="C79" s="24" t="s">
        <v>185</v>
      </c>
      <c r="D79" s="24" t="s">
        <v>169</v>
      </c>
      <c r="E79" s="25" t="n">
        <v>5769.82515913043</v>
      </c>
      <c r="F79" s="25" t="n">
        <v>5769.82515913043</v>
      </c>
      <c r="G79" s="26" t="n">
        <v>0</v>
      </c>
      <c r="H79" s="27" t="n">
        <v>0</v>
      </c>
      <c r="I79" s="23" t="s">
        <v>19</v>
      </c>
    </row>
    <row r="80" customFormat="false" ht="15" hidden="false" customHeight="true" outlineLevel="0" collapsed="false">
      <c r="A80" s="23" t="s">
        <v>151</v>
      </c>
      <c r="B80" s="24" t="s">
        <v>188</v>
      </c>
      <c r="C80" s="24" t="s">
        <v>157</v>
      </c>
      <c r="D80" s="24" t="s">
        <v>159</v>
      </c>
      <c r="E80" s="25" t="n">
        <v>0</v>
      </c>
      <c r="F80" s="25" t="n">
        <v>0</v>
      </c>
      <c r="G80" s="26" t="n">
        <v>0</v>
      </c>
      <c r="H80" s="27"/>
      <c r="I80" s="23" t="s">
        <v>19</v>
      </c>
    </row>
    <row r="81" customFormat="false" ht="15" hidden="false" customHeight="true" outlineLevel="0" collapsed="false">
      <c r="A81" s="23" t="s">
        <v>151</v>
      </c>
      <c r="B81" s="24" t="s">
        <v>189</v>
      </c>
      <c r="C81" s="24" t="s">
        <v>190</v>
      </c>
      <c r="D81" s="24" t="s">
        <v>157</v>
      </c>
      <c r="E81" s="25" t="n">
        <v>41275.0260089455</v>
      </c>
      <c r="F81" s="25" t="n">
        <v>41275.0260089455</v>
      </c>
      <c r="G81" s="26" t="n">
        <v>0</v>
      </c>
      <c r="H81" s="27" t="n">
        <v>0</v>
      </c>
      <c r="I81" s="23" t="s">
        <v>19</v>
      </c>
    </row>
    <row r="82" customFormat="false" ht="15" hidden="false" customHeight="true" outlineLevel="0" collapsed="false">
      <c r="A82" s="28" t="s">
        <v>151</v>
      </c>
      <c r="B82" s="29" t="s">
        <v>191</v>
      </c>
      <c r="C82" s="29" t="s">
        <v>192</v>
      </c>
      <c r="D82" s="29" t="s">
        <v>169</v>
      </c>
      <c r="E82" s="30" t="n">
        <v>15646.3401875851</v>
      </c>
      <c r="F82" s="30" t="n">
        <v>15649.2197151767</v>
      </c>
      <c r="G82" s="31" t="n">
        <v>2.8795275915636</v>
      </c>
      <c r="H82" s="32" t="n">
        <v>0.000184038411349922</v>
      </c>
      <c r="I82" s="33" t="s">
        <v>15</v>
      </c>
    </row>
    <row r="83" customFormat="false" ht="15" hidden="false" customHeight="true" outlineLevel="0" collapsed="false">
      <c r="A83" s="23" t="s">
        <v>151</v>
      </c>
      <c r="B83" s="24" t="s">
        <v>193</v>
      </c>
      <c r="C83" s="24" t="s">
        <v>172</v>
      </c>
      <c r="D83" s="24" t="s">
        <v>157</v>
      </c>
      <c r="E83" s="25" t="n">
        <v>1476.77071</v>
      </c>
      <c r="F83" s="25" t="n">
        <v>1476.77071</v>
      </c>
      <c r="G83" s="26" t="n">
        <v>0</v>
      </c>
      <c r="H83" s="27" t="n">
        <v>0</v>
      </c>
      <c r="I83" s="23" t="s">
        <v>19</v>
      </c>
    </row>
    <row r="84" customFormat="false" ht="15" hidden="false" customHeight="true" outlineLevel="0" collapsed="false">
      <c r="A84" s="23" t="s">
        <v>151</v>
      </c>
      <c r="B84" s="24" t="s">
        <v>194</v>
      </c>
      <c r="C84" s="24" t="s">
        <v>195</v>
      </c>
      <c r="D84" s="24" t="s">
        <v>154</v>
      </c>
      <c r="E84" s="25" t="n">
        <v>2976.75297675</v>
      </c>
      <c r="F84" s="25" t="n">
        <v>2976.75297675</v>
      </c>
      <c r="G84" s="26" t="n">
        <v>0</v>
      </c>
      <c r="H84" s="27" t="n">
        <v>0</v>
      </c>
      <c r="I84" s="23" t="s">
        <v>19</v>
      </c>
    </row>
    <row r="85" customFormat="false" ht="15" hidden="false" customHeight="true" outlineLevel="0" collapsed="false">
      <c r="A85" s="23" t="s">
        <v>151</v>
      </c>
      <c r="B85" s="24" t="s">
        <v>196</v>
      </c>
      <c r="C85" s="24" t="s">
        <v>197</v>
      </c>
      <c r="D85" s="24" t="s">
        <v>198</v>
      </c>
      <c r="E85" s="25" t="n">
        <v>12247.4747473077</v>
      </c>
      <c r="F85" s="25" t="n">
        <v>12247.4747473077</v>
      </c>
      <c r="G85" s="26" t="n">
        <v>0</v>
      </c>
      <c r="H85" s="27" t="n">
        <v>0</v>
      </c>
      <c r="I85" s="23" t="s">
        <v>19</v>
      </c>
    </row>
    <row r="86" customFormat="false" ht="15" hidden="false" customHeight="true" outlineLevel="0" collapsed="false">
      <c r="A86" s="23" t="s">
        <v>151</v>
      </c>
      <c r="B86" s="24" t="s">
        <v>199</v>
      </c>
      <c r="C86" s="24" t="s">
        <v>200</v>
      </c>
      <c r="D86" s="24" t="s">
        <v>179</v>
      </c>
      <c r="E86" s="25" t="n">
        <v>4954.15201294118</v>
      </c>
      <c r="F86" s="25" t="n">
        <v>4954.15201294118</v>
      </c>
      <c r="G86" s="26" t="n">
        <v>0</v>
      </c>
      <c r="H86" s="27" t="n">
        <v>0</v>
      </c>
      <c r="I86" s="23" t="s">
        <v>19</v>
      </c>
    </row>
    <row r="87" customFormat="false" ht="15" hidden="false" customHeight="true" outlineLevel="0" collapsed="false">
      <c r="A87" s="23" t="s">
        <v>201</v>
      </c>
      <c r="B87" s="24" t="s">
        <v>202</v>
      </c>
      <c r="C87" s="24" t="s">
        <v>203</v>
      </c>
      <c r="D87" s="24" t="s">
        <v>204</v>
      </c>
      <c r="E87" s="25" t="n">
        <v>2925.02727207692</v>
      </c>
      <c r="F87" s="25" t="n">
        <v>2925.02727207692</v>
      </c>
      <c r="G87" s="26" t="n">
        <v>0</v>
      </c>
      <c r="H87" s="27" t="n">
        <v>0</v>
      </c>
      <c r="I87" s="23" t="s">
        <v>19</v>
      </c>
    </row>
    <row r="88" customFormat="false" ht="15" hidden="false" customHeight="true" outlineLevel="0" collapsed="false">
      <c r="A88" s="23" t="s">
        <v>201</v>
      </c>
      <c r="B88" s="24" t="s">
        <v>205</v>
      </c>
      <c r="C88" s="24" t="s">
        <v>206</v>
      </c>
      <c r="D88" s="24" t="s">
        <v>207</v>
      </c>
      <c r="E88" s="25" t="n">
        <v>2739.05111803846</v>
      </c>
      <c r="F88" s="25" t="n">
        <v>2739.05111803846</v>
      </c>
      <c r="G88" s="26" t="n">
        <v>0</v>
      </c>
      <c r="H88" s="27" t="n">
        <v>0</v>
      </c>
      <c r="I88" s="23" t="s">
        <v>19</v>
      </c>
    </row>
    <row r="89" customFormat="false" ht="15" hidden="false" customHeight="true" outlineLevel="0" collapsed="false">
      <c r="A89" s="34" t="s">
        <v>201</v>
      </c>
      <c r="B89" s="35" t="s">
        <v>208</v>
      </c>
      <c r="C89" s="35" t="s">
        <v>209</v>
      </c>
      <c r="D89" s="35" t="s">
        <v>204</v>
      </c>
      <c r="E89" s="36" t="n">
        <v>50801.9636481316</v>
      </c>
      <c r="F89" s="36" t="n">
        <v>49265.9303474919</v>
      </c>
      <c r="G89" s="37" t="n">
        <v>-1536.03330063972</v>
      </c>
      <c r="H89" s="38" t="n">
        <v>-0.0302357072509777</v>
      </c>
      <c r="I89" s="39" t="s">
        <v>16</v>
      </c>
    </row>
    <row r="90" customFormat="false" ht="15" hidden="false" customHeight="true" outlineLevel="0" collapsed="false">
      <c r="A90" s="23" t="s">
        <v>201</v>
      </c>
      <c r="B90" s="24" t="s">
        <v>210</v>
      </c>
      <c r="C90" s="24" t="s">
        <v>206</v>
      </c>
      <c r="D90" s="24" t="s">
        <v>207</v>
      </c>
      <c r="E90" s="25" t="n">
        <v>1275.909091</v>
      </c>
      <c r="F90" s="25" t="n">
        <v>1275.909091</v>
      </c>
      <c r="G90" s="26" t="n">
        <v>0</v>
      </c>
      <c r="H90" s="27" t="n">
        <v>0</v>
      </c>
      <c r="I90" s="23" t="s">
        <v>19</v>
      </c>
    </row>
    <row r="91" customFormat="false" ht="15" hidden="false" customHeight="true" outlineLevel="0" collapsed="false">
      <c r="A91" s="23" t="s">
        <v>211</v>
      </c>
      <c r="B91" s="24" t="s">
        <v>212</v>
      </c>
      <c r="C91" s="24" t="s">
        <v>213</v>
      </c>
      <c r="D91" s="24" t="s">
        <v>214</v>
      </c>
      <c r="E91" s="25" t="n">
        <v>1303.1555554</v>
      </c>
      <c r="F91" s="25" t="n">
        <v>1303.1555554</v>
      </c>
      <c r="G91" s="26" t="n">
        <v>0</v>
      </c>
      <c r="H91" s="27" t="n">
        <v>0</v>
      </c>
      <c r="I91" s="23" t="s">
        <v>19</v>
      </c>
    </row>
    <row r="92" customFormat="false" ht="15" hidden="false" customHeight="true" outlineLevel="0" collapsed="false">
      <c r="A92" s="34" t="s">
        <v>211</v>
      </c>
      <c r="B92" s="35" t="s">
        <v>215</v>
      </c>
      <c r="C92" s="35" t="s">
        <v>216</v>
      </c>
      <c r="D92" s="35" t="s">
        <v>217</v>
      </c>
      <c r="E92" s="36" t="n">
        <v>12888.9733462194</v>
      </c>
      <c r="F92" s="36" t="n">
        <v>2156.81393888607</v>
      </c>
      <c r="G92" s="37" t="n">
        <v>-10732.1594073333</v>
      </c>
      <c r="H92" s="38" t="n">
        <v>-0.832662084019384</v>
      </c>
      <c r="I92" s="39" t="s">
        <v>16</v>
      </c>
    </row>
    <row r="93" customFormat="false" ht="15" hidden="false" customHeight="true" outlineLevel="0" collapsed="false">
      <c r="A93" s="28" t="s">
        <v>218</v>
      </c>
      <c r="B93" s="29" t="s">
        <v>33</v>
      </c>
      <c r="C93" s="29" t="s">
        <v>33</v>
      </c>
      <c r="D93" s="29" t="s">
        <v>33</v>
      </c>
      <c r="E93" s="30" t="n">
        <v>1097.6067592873</v>
      </c>
      <c r="F93" s="30" t="n">
        <v>20618.455742757</v>
      </c>
      <c r="G93" s="31" t="n">
        <v>19520.8489834697</v>
      </c>
      <c r="H93" s="32" t="n">
        <v>17.7849205266784</v>
      </c>
      <c r="I93" s="33" t="s">
        <v>15</v>
      </c>
    </row>
    <row r="94" customFormat="false" ht="15" hidden="false" customHeight="true" outlineLevel="0" collapsed="false">
      <c r="A94" s="23" t="s">
        <v>219</v>
      </c>
      <c r="B94" s="24" t="s">
        <v>220</v>
      </c>
      <c r="C94" s="24" t="s">
        <v>221</v>
      </c>
      <c r="D94" s="24" t="s">
        <v>222</v>
      </c>
      <c r="E94" s="25" t="n">
        <v>9497.578295</v>
      </c>
      <c r="F94" s="25" t="n">
        <v>9497.578295</v>
      </c>
      <c r="G94" s="26" t="n">
        <v>0</v>
      </c>
      <c r="H94" s="27" t="n">
        <v>0</v>
      </c>
      <c r="I94" s="23" t="s">
        <v>19</v>
      </c>
    </row>
    <row r="95" customFormat="false" ht="15" hidden="false" customHeight="true" outlineLevel="0" collapsed="false">
      <c r="A95" s="28" t="s">
        <v>219</v>
      </c>
      <c r="B95" s="29" t="s">
        <v>223</v>
      </c>
      <c r="C95" s="29" t="s">
        <v>224</v>
      </c>
      <c r="D95" s="29" t="s">
        <v>225</v>
      </c>
      <c r="E95" s="30" t="n">
        <v>31734.8806217945</v>
      </c>
      <c r="F95" s="30" t="n">
        <v>31735.460192692</v>
      </c>
      <c r="G95" s="31" t="n">
        <v>0.579570897512895</v>
      </c>
      <c r="H95" s="32" t="n">
        <v>1.8262898304866E-005</v>
      </c>
      <c r="I95" s="33" t="s">
        <v>15</v>
      </c>
    </row>
    <row r="96" customFormat="false" ht="15" hidden="false" customHeight="true" outlineLevel="0" collapsed="false">
      <c r="A96" s="34" t="s">
        <v>226</v>
      </c>
      <c r="B96" s="35" t="s">
        <v>227</v>
      </c>
      <c r="C96" s="35" t="s">
        <v>228</v>
      </c>
      <c r="D96" s="35" t="s">
        <v>70</v>
      </c>
      <c r="E96" s="36" t="n">
        <v>4301.57257354121</v>
      </c>
      <c r="F96" s="36" t="n">
        <v>3226.42073706628</v>
      </c>
      <c r="G96" s="37" t="n">
        <v>-1075.15183647493</v>
      </c>
      <c r="H96" s="38" t="n">
        <v>-0.249943902629505</v>
      </c>
      <c r="I96" s="39" t="s">
        <v>16</v>
      </c>
    </row>
    <row r="97" customFormat="false" ht="15" hidden="false" customHeight="true" outlineLevel="0" collapsed="false">
      <c r="A97" s="51" t="s">
        <v>229</v>
      </c>
      <c r="B97" s="51"/>
      <c r="C97" s="51"/>
      <c r="D97" s="51"/>
      <c r="E97" s="52" t="n">
        <f aca="false">SUM(E4:E96)</f>
        <v>1046029.67412319</v>
      </c>
      <c r="F97" s="52" t="n">
        <f aca="false">SUM(F4:F96)</f>
        <v>974606.04325649</v>
      </c>
      <c r="G97" s="52" t="n">
        <f aca="false">SUM(G4:G96)</f>
        <v>-71423.630866704</v>
      </c>
      <c r="H97" s="53"/>
      <c r="I97" s="53"/>
    </row>
  </sheetData>
  <mergeCells count="3">
    <mergeCell ref="A1:I1"/>
    <mergeCell ref="A2:I2"/>
    <mergeCell ref="A97:D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22" t="s">
        <v>230</v>
      </c>
      <c r="B1" s="22"/>
      <c r="C1" s="22"/>
      <c r="D1" s="22"/>
      <c r="E1" s="22"/>
      <c r="F1" s="22"/>
    </row>
    <row r="2" customFormat="false" ht="13.5" hidden="false" customHeight="true" outlineLevel="0" collapsed="false">
      <c r="A2" s="2" t="s">
        <v>21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4" t="s">
        <v>22</v>
      </c>
      <c r="B3" s="4" t="s">
        <v>26</v>
      </c>
      <c r="C3" s="4" t="s">
        <v>27</v>
      </c>
      <c r="D3" s="4" t="s">
        <v>6</v>
      </c>
      <c r="E3" s="4" t="s">
        <v>7</v>
      </c>
      <c r="F3" s="4" t="s">
        <v>13</v>
      </c>
    </row>
    <row r="4" customFormat="false" ht="15" hidden="false" customHeight="true" outlineLevel="0" collapsed="false">
      <c r="A4" s="28" t="s">
        <v>218</v>
      </c>
      <c r="B4" s="30" t="n">
        <v>1097.6067592873</v>
      </c>
      <c r="C4" s="30" t="n">
        <v>20618.455742757</v>
      </c>
      <c r="D4" s="31" t="n">
        <v>19520.8489834697</v>
      </c>
      <c r="E4" s="32" t="n">
        <v>17.7849205266784</v>
      </c>
      <c r="F4" s="33" t="s">
        <v>15</v>
      </c>
    </row>
    <row r="5" customFormat="false" ht="15" hidden="false" customHeight="true" outlineLevel="0" collapsed="false">
      <c r="A5" s="28" t="s">
        <v>101</v>
      </c>
      <c r="B5" s="30" t="n">
        <v>5234.87516628399</v>
      </c>
      <c r="C5" s="30" t="n">
        <v>15704.625498852</v>
      </c>
      <c r="D5" s="31" t="n">
        <v>10469.750332568</v>
      </c>
      <c r="E5" s="32" t="n">
        <v>2</v>
      </c>
      <c r="F5" s="33" t="s">
        <v>15</v>
      </c>
    </row>
    <row r="6" customFormat="false" ht="15" hidden="false" customHeight="true" outlineLevel="0" collapsed="false">
      <c r="A6" s="28" t="s">
        <v>107</v>
      </c>
      <c r="B6" s="30" t="n">
        <v>139231.586374388</v>
      </c>
      <c r="C6" s="30" t="n">
        <v>143734.43718952</v>
      </c>
      <c r="D6" s="31" t="n">
        <v>4502.85081513255</v>
      </c>
      <c r="E6" s="32" t="n">
        <v>0.0323407276494328</v>
      </c>
      <c r="F6" s="33" t="s">
        <v>15</v>
      </c>
    </row>
    <row r="7" customFormat="false" ht="15" hidden="false" customHeight="true" outlineLevel="0" collapsed="false">
      <c r="A7" s="28" t="s">
        <v>219</v>
      </c>
      <c r="B7" s="30" t="n">
        <v>41232.4589167945</v>
      </c>
      <c r="C7" s="30" t="n">
        <v>41233.038487692</v>
      </c>
      <c r="D7" s="31" t="n">
        <v>0.579570897512895</v>
      </c>
      <c r="E7" s="32" t="n">
        <v>1.40561808036345E-005</v>
      </c>
      <c r="F7" s="33" t="s">
        <v>15</v>
      </c>
    </row>
    <row r="8" customFormat="false" ht="15" hidden="false" customHeight="true" outlineLevel="0" collapsed="false">
      <c r="A8" s="23" t="s">
        <v>28</v>
      </c>
      <c r="B8" s="25" t="n">
        <v>1737.650237</v>
      </c>
      <c r="C8" s="25" t="n">
        <v>1737.650237</v>
      </c>
      <c r="D8" s="26" t="n">
        <v>0</v>
      </c>
      <c r="E8" s="27" t="n">
        <v>0</v>
      </c>
      <c r="F8" s="23" t="s">
        <v>19</v>
      </c>
    </row>
    <row r="9" customFormat="false" ht="15" hidden="false" customHeight="true" outlineLevel="0" collapsed="false">
      <c r="A9" s="23" t="s">
        <v>147</v>
      </c>
      <c r="B9" s="25" t="n">
        <v>12304.9268348235</v>
      </c>
      <c r="C9" s="25" t="n">
        <v>12304.9268348235</v>
      </c>
      <c r="D9" s="26" t="n">
        <v>0</v>
      </c>
      <c r="E9" s="27" t="n">
        <v>0</v>
      </c>
      <c r="F9" s="23" t="s">
        <v>19</v>
      </c>
    </row>
    <row r="10" customFormat="false" ht="15" hidden="false" customHeight="true" outlineLevel="0" collapsed="false">
      <c r="A10" s="23" t="s">
        <v>146</v>
      </c>
      <c r="B10" s="25" t="n">
        <v>0</v>
      </c>
      <c r="C10" s="25" t="n">
        <v>0</v>
      </c>
      <c r="D10" s="26" t="n">
        <v>0</v>
      </c>
      <c r="E10" s="27"/>
      <c r="F10" s="23" t="s">
        <v>19</v>
      </c>
    </row>
    <row r="11" customFormat="false" ht="15" hidden="false" customHeight="true" outlineLevel="0" collapsed="false">
      <c r="A11" s="23" t="s">
        <v>49</v>
      </c>
      <c r="B11" s="25" t="n">
        <v>4515.2145138</v>
      </c>
      <c r="C11" s="25" t="n">
        <v>4515.2145138</v>
      </c>
      <c r="D11" s="26" t="n">
        <v>0</v>
      </c>
      <c r="E11" s="27" t="n">
        <v>0</v>
      </c>
      <c r="F11" s="23" t="s">
        <v>19</v>
      </c>
    </row>
    <row r="12" customFormat="false" ht="15" hidden="false" customHeight="true" outlineLevel="0" collapsed="false">
      <c r="A12" s="23" t="s">
        <v>32</v>
      </c>
      <c r="B12" s="25" t="n">
        <v>21657.0777179032</v>
      </c>
      <c r="C12" s="25" t="n">
        <v>21657.0777179032</v>
      </c>
      <c r="D12" s="26" t="n">
        <v>0</v>
      </c>
      <c r="E12" s="27" t="n">
        <v>0</v>
      </c>
      <c r="F12" s="23" t="s">
        <v>19</v>
      </c>
    </row>
    <row r="13" customFormat="false" ht="15" hidden="false" customHeight="true" outlineLevel="0" collapsed="false">
      <c r="A13" s="23" t="s">
        <v>74</v>
      </c>
      <c r="B13" s="25" t="n">
        <v>25170.5057890828</v>
      </c>
      <c r="C13" s="25" t="n">
        <v>25170.5057890828</v>
      </c>
      <c r="D13" s="26" t="n">
        <v>0</v>
      </c>
      <c r="E13" s="27" t="n">
        <v>0</v>
      </c>
      <c r="F13" s="23" t="s">
        <v>19</v>
      </c>
    </row>
    <row r="14" customFormat="false" ht="15" hidden="false" customHeight="true" outlineLevel="0" collapsed="false">
      <c r="A14" s="34" t="s">
        <v>226</v>
      </c>
      <c r="B14" s="36" t="n">
        <v>4301.57257354121</v>
      </c>
      <c r="C14" s="36" t="n">
        <v>3226.42073706628</v>
      </c>
      <c r="D14" s="37" t="n">
        <v>-1075.15183647493</v>
      </c>
      <c r="E14" s="38" t="n">
        <v>-0.249943902629505</v>
      </c>
      <c r="F14" s="39" t="s">
        <v>16</v>
      </c>
    </row>
    <row r="15" customFormat="false" ht="15" hidden="false" customHeight="true" outlineLevel="0" collapsed="false">
      <c r="A15" s="34" t="s">
        <v>201</v>
      </c>
      <c r="B15" s="36" t="n">
        <v>57741.951129247</v>
      </c>
      <c r="C15" s="36" t="n">
        <v>56205.9178286073</v>
      </c>
      <c r="D15" s="37" t="n">
        <v>-1536.03330063972</v>
      </c>
      <c r="E15" s="38" t="n">
        <v>-0.0266016868256068</v>
      </c>
      <c r="F15" s="39" t="s">
        <v>16</v>
      </c>
    </row>
    <row r="16" customFormat="false" ht="15" hidden="false" customHeight="true" outlineLevel="0" collapsed="false">
      <c r="A16" s="34" t="s">
        <v>58</v>
      </c>
      <c r="B16" s="36" t="n">
        <v>95781.045684</v>
      </c>
      <c r="C16" s="36" t="n">
        <v>92754.1574178485</v>
      </c>
      <c r="D16" s="37" t="n">
        <v>-3026.88826615155</v>
      </c>
      <c r="E16" s="38" t="n">
        <v>-0.031602163502556</v>
      </c>
      <c r="F16" s="39" t="s">
        <v>16</v>
      </c>
    </row>
    <row r="17" customFormat="false" ht="15" hidden="false" customHeight="true" outlineLevel="0" collapsed="false">
      <c r="A17" s="34" t="s">
        <v>151</v>
      </c>
      <c r="B17" s="36" t="n">
        <v>319028.783420657</v>
      </c>
      <c r="C17" s="36" t="n">
        <v>315194.775615962</v>
      </c>
      <c r="D17" s="37" t="n">
        <v>-3834.00780469534</v>
      </c>
      <c r="E17" s="38" t="n">
        <v>-0.0120177488801692</v>
      </c>
      <c r="F17" s="39" t="s">
        <v>16</v>
      </c>
    </row>
    <row r="18" customFormat="false" ht="15" hidden="false" customHeight="true" outlineLevel="0" collapsed="false">
      <c r="A18" s="34" t="s">
        <v>139</v>
      </c>
      <c r="B18" s="36" t="n">
        <v>8784.32433924445</v>
      </c>
      <c r="C18" s="36" t="n">
        <v>4167.84685503514</v>
      </c>
      <c r="D18" s="37" t="n">
        <v>-4616.4774842093</v>
      </c>
      <c r="E18" s="38" t="n">
        <v>-0.525535864333349</v>
      </c>
      <c r="F18" s="39" t="s">
        <v>16</v>
      </c>
    </row>
    <row r="19" customFormat="false" ht="15" hidden="false" customHeight="true" outlineLevel="0" collapsed="false">
      <c r="A19" s="34" t="s">
        <v>53</v>
      </c>
      <c r="B19" s="36" t="n">
        <v>13932.8871109106</v>
      </c>
      <c r="C19" s="36" t="n">
        <v>6159.55985512431</v>
      </c>
      <c r="D19" s="37" t="n">
        <v>-7773.32725578626</v>
      </c>
      <c r="E19" s="38" t="n">
        <v>-0.557912168088918</v>
      </c>
      <c r="F19" s="39" t="s">
        <v>16</v>
      </c>
    </row>
    <row r="20" customFormat="false" ht="15" hidden="false" customHeight="true" outlineLevel="0" collapsed="false">
      <c r="A20" s="34" t="s">
        <v>41</v>
      </c>
      <c r="B20" s="36" t="n">
        <v>143921.679287664</v>
      </c>
      <c r="C20" s="36" t="n">
        <v>136035.560214313</v>
      </c>
      <c r="D20" s="37" t="n">
        <v>-7886.11907335129</v>
      </c>
      <c r="E20" s="38" t="n">
        <v>-0.0547945181878324</v>
      </c>
      <c r="F20" s="39" t="s">
        <v>16</v>
      </c>
    </row>
    <row r="21" customFormat="false" ht="15" hidden="false" customHeight="true" outlineLevel="0" collapsed="false">
      <c r="A21" s="34" t="s">
        <v>211</v>
      </c>
      <c r="B21" s="36" t="n">
        <v>14192.1289016194</v>
      </c>
      <c r="C21" s="36" t="n">
        <v>3459.96949428607</v>
      </c>
      <c r="D21" s="37" t="n">
        <v>-10732.1594073333</v>
      </c>
      <c r="E21" s="38" t="n">
        <v>-0.756205040253597</v>
      </c>
      <c r="F21" s="39" t="s">
        <v>16</v>
      </c>
    </row>
    <row r="22" customFormat="false" ht="15" hidden="false" customHeight="true" outlineLevel="0" collapsed="false">
      <c r="A22" s="34" t="s">
        <v>78</v>
      </c>
      <c r="B22" s="36" t="n">
        <v>20185.0466080382</v>
      </c>
      <c r="C22" s="36" t="n">
        <v>8891.68348988898</v>
      </c>
      <c r="D22" s="37" t="n">
        <v>-11293.3631181493</v>
      </c>
      <c r="E22" s="38" t="n">
        <v>-0.559491555181841</v>
      </c>
      <c r="F22" s="39" t="s">
        <v>16</v>
      </c>
    </row>
    <row r="23" customFormat="false" ht="15" hidden="false" customHeight="true" outlineLevel="0" collapsed="false">
      <c r="A23" s="34" t="s">
        <v>95</v>
      </c>
      <c r="B23" s="36" t="n">
        <v>26748.296747381</v>
      </c>
      <c r="C23" s="36" t="n">
        <v>6712.17671223327</v>
      </c>
      <c r="D23" s="37" t="n">
        <v>-20036.1200351477</v>
      </c>
      <c r="E23" s="38" t="n">
        <v>-0.749061528080643</v>
      </c>
      <c r="F23" s="39" t="s">
        <v>16</v>
      </c>
    </row>
    <row r="24" customFormat="false" ht="15" hidden="false" customHeight="true" outlineLevel="0" collapsed="false">
      <c r="A24" s="34" t="s">
        <v>79</v>
      </c>
      <c r="B24" s="36" t="n">
        <v>89230.0560115282</v>
      </c>
      <c r="C24" s="36" t="n">
        <v>55122.0430246952</v>
      </c>
      <c r="D24" s="37" t="n">
        <v>-34108.012986833</v>
      </c>
      <c r="E24" s="38" t="n">
        <v>-0.382248028426951</v>
      </c>
      <c r="F24" s="39" t="s">
        <v>16</v>
      </c>
    </row>
    <row r="25" customFormat="false" ht="15" hidden="false" customHeight="true" outlineLevel="0" collapsed="false">
      <c r="A25" s="54" t="s">
        <v>229</v>
      </c>
      <c r="B25" s="52" t="n">
        <f aca="false">SUM(B4:B24)</f>
        <v>1046029.67412319</v>
      </c>
      <c r="C25" s="52" t="n">
        <f aca="false">SUM(C4:C24)</f>
        <v>974606.04325649</v>
      </c>
      <c r="D25" s="52" t="n">
        <f aca="false">SUM(D4:D24)</f>
        <v>-71423.630866704</v>
      </c>
      <c r="E25" s="53"/>
      <c r="F25" s="5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2026-04-14T16:16:19Z</dcterms:created>
  <dc:creator>openpyxl</dc:creator>
  <dc:description/>
  <dc:language>en-US</dc:language>
  <cp:lastModifiedBy/>
  <dcterms:modified xsi:type="dcterms:W3CDTF">2026-04-14T16:16:19Z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