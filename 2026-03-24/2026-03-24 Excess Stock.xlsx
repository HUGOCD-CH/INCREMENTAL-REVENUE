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edtronicemea-my.sharepoint.com/personal/diash2_medtronic_com/Documents/TEMP/FY26 Q4 INCREMENTAL REVENUE/"/>
    </mc:Choice>
  </mc:AlternateContent>
  <xr:revisionPtr revIDLastSave="1" documentId="11_36E3DB832E73B27C7DC8AF957531E013C38985A5" xr6:coauthVersionLast="47" xr6:coauthVersionMax="47" xr10:uidLastSave="{C76C3239-E986-4A58-88B9-CBAB3493B777}"/>
  <bookViews>
    <workbookView xWindow="-110" yWindow="-110" windowWidth="19420" windowHeight="10300" activeTab="1" xr2:uid="{00000000-000D-0000-FFFF-FFFF00000000}"/>
  </bookViews>
  <sheets>
    <sheet name="All Details" sheetId="1" r:id="rId1"/>
    <sheet name="Summary by RPH Group" sheetId="2" r:id="rId2"/>
  </sheets>
  <definedNames>
    <definedName name="_xlnm._FilterDatabase" localSheetId="0" hidden="1">'All Details'!$A$1:$L$510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0" i="1" l="1"/>
  <c r="K510" i="1" s="1"/>
  <c r="L510" i="1" s="1"/>
  <c r="J509" i="1"/>
  <c r="K509" i="1" s="1"/>
  <c r="L509" i="1" s="1"/>
  <c r="J508" i="1"/>
  <c r="K508" i="1" s="1"/>
  <c r="L508" i="1" s="1"/>
  <c r="J507" i="1"/>
  <c r="K507" i="1" s="1"/>
  <c r="L507" i="1" s="1"/>
  <c r="J506" i="1"/>
  <c r="K506" i="1" s="1"/>
  <c r="L506" i="1" s="1"/>
  <c r="J505" i="1"/>
  <c r="K505" i="1" s="1"/>
  <c r="L505" i="1" s="1"/>
  <c r="J504" i="1"/>
  <c r="K504" i="1" s="1"/>
  <c r="L504" i="1" s="1"/>
  <c r="J503" i="1"/>
  <c r="K503" i="1" s="1"/>
  <c r="L503" i="1" s="1"/>
  <c r="J502" i="1"/>
  <c r="K502" i="1" s="1"/>
  <c r="L502" i="1" s="1"/>
  <c r="J501" i="1"/>
  <c r="K501" i="1" s="1"/>
  <c r="L501" i="1" s="1"/>
  <c r="J500" i="1"/>
  <c r="K500" i="1" s="1"/>
  <c r="L500" i="1" s="1"/>
  <c r="J499" i="1"/>
  <c r="K499" i="1" s="1"/>
  <c r="L499" i="1" s="1"/>
  <c r="J498" i="1"/>
  <c r="K498" i="1" s="1"/>
  <c r="L498" i="1" s="1"/>
  <c r="J497" i="1"/>
  <c r="K497" i="1" s="1"/>
  <c r="L497" i="1" s="1"/>
  <c r="J496" i="1"/>
  <c r="K496" i="1" s="1"/>
  <c r="L496" i="1" s="1"/>
  <c r="J495" i="1"/>
  <c r="K495" i="1" s="1"/>
  <c r="L495" i="1" s="1"/>
  <c r="J494" i="1"/>
  <c r="K494" i="1" s="1"/>
  <c r="L494" i="1" s="1"/>
  <c r="J493" i="1"/>
  <c r="K493" i="1" s="1"/>
  <c r="L493" i="1" s="1"/>
  <c r="J492" i="1"/>
  <c r="K492" i="1" s="1"/>
  <c r="L492" i="1" s="1"/>
  <c r="J491" i="1"/>
  <c r="K491" i="1" s="1"/>
  <c r="L491" i="1" s="1"/>
  <c r="J490" i="1"/>
  <c r="K490" i="1" s="1"/>
  <c r="L490" i="1" s="1"/>
  <c r="J489" i="1"/>
  <c r="K489" i="1" s="1"/>
  <c r="L489" i="1" s="1"/>
  <c r="J488" i="1"/>
  <c r="K488" i="1" s="1"/>
  <c r="L488" i="1" s="1"/>
  <c r="J487" i="1"/>
  <c r="K487" i="1" s="1"/>
  <c r="L487" i="1" s="1"/>
  <c r="K486" i="1"/>
  <c r="L486" i="1" s="1"/>
  <c r="J486" i="1"/>
  <c r="J485" i="1"/>
  <c r="K485" i="1" s="1"/>
  <c r="L485" i="1" s="1"/>
  <c r="J484" i="1"/>
  <c r="K484" i="1" s="1"/>
  <c r="L484" i="1" s="1"/>
  <c r="J483" i="1"/>
  <c r="K483" i="1" s="1"/>
  <c r="L483" i="1" s="1"/>
  <c r="K482" i="1"/>
  <c r="L482" i="1" s="1"/>
  <c r="J482" i="1"/>
  <c r="J481" i="1"/>
  <c r="K481" i="1" s="1"/>
  <c r="L481" i="1" s="1"/>
  <c r="J480" i="1"/>
  <c r="K480" i="1" s="1"/>
  <c r="L480" i="1" s="1"/>
  <c r="J479" i="1"/>
  <c r="K479" i="1" s="1"/>
  <c r="L479" i="1" s="1"/>
  <c r="K478" i="1"/>
  <c r="L478" i="1" s="1"/>
  <c r="J478" i="1"/>
  <c r="J477" i="1"/>
  <c r="K477" i="1" s="1"/>
  <c r="L477" i="1" s="1"/>
  <c r="J476" i="1"/>
  <c r="K476" i="1" s="1"/>
  <c r="L476" i="1" s="1"/>
  <c r="J475" i="1"/>
  <c r="K475" i="1" s="1"/>
  <c r="L475" i="1" s="1"/>
  <c r="J474" i="1"/>
  <c r="K474" i="1" s="1"/>
  <c r="L474" i="1" s="1"/>
  <c r="J473" i="1"/>
  <c r="K473" i="1" s="1"/>
  <c r="L473" i="1" s="1"/>
  <c r="J472" i="1"/>
  <c r="K472" i="1" s="1"/>
  <c r="L472" i="1" s="1"/>
  <c r="J471" i="1"/>
  <c r="K471" i="1" s="1"/>
  <c r="L471" i="1" s="1"/>
  <c r="K470" i="1"/>
  <c r="L470" i="1" s="1"/>
  <c r="J470" i="1"/>
  <c r="J469" i="1"/>
  <c r="K469" i="1" s="1"/>
  <c r="L469" i="1" s="1"/>
  <c r="J468" i="1"/>
  <c r="K468" i="1" s="1"/>
  <c r="L468" i="1" s="1"/>
  <c r="J467" i="1"/>
  <c r="K467" i="1" s="1"/>
  <c r="L467" i="1" s="1"/>
  <c r="K466" i="1"/>
  <c r="L466" i="1" s="1"/>
  <c r="J466" i="1"/>
  <c r="J465" i="1"/>
  <c r="K465" i="1" s="1"/>
  <c r="L465" i="1" s="1"/>
  <c r="J464" i="1"/>
  <c r="K464" i="1" s="1"/>
  <c r="L464" i="1" s="1"/>
  <c r="J463" i="1"/>
  <c r="K463" i="1" s="1"/>
  <c r="L463" i="1" s="1"/>
  <c r="K462" i="1"/>
  <c r="L462" i="1" s="1"/>
  <c r="J462" i="1"/>
  <c r="J461" i="1"/>
  <c r="K461" i="1" s="1"/>
  <c r="L461" i="1" s="1"/>
  <c r="J460" i="1"/>
  <c r="K460" i="1" s="1"/>
  <c r="L460" i="1" s="1"/>
  <c r="J459" i="1"/>
  <c r="K459" i="1" s="1"/>
  <c r="L459" i="1" s="1"/>
  <c r="J458" i="1"/>
  <c r="K458" i="1" s="1"/>
  <c r="L458" i="1" s="1"/>
  <c r="J457" i="1"/>
  <c r="K457" i="1" s="1"/>
  <c r="L457" i="1" s="1"/>
  <c r="J456" i="1"/>
  <c r="K456" i="1" s="1"/>
  <c r="L456" i="1" s="1"/>
  <c r="J455" i="1"/>
  <c r="K455" i="1" s="1"/>
  <c r="L455" i="1" s="1"/>
  <c r="J454" i="1"/>
  <c r="K454" i="1" s="1"/>
  <c r="L454" i="1" s="1"/>
  <c r="J453" i="1"/>
  <c r="K453" i="1" s="1"/>
  <c r="L453" i="1" s="1"/>
  <c r="J452" i="1"/>
  <c r="K452" i="1" s="1"/>
  <c r="L452" i="1" s="1"/>
  <c r="J451" i="1"/>
  <c r="K451" i="1" s="1"/>
  <c r="L451" i="1" s="1"/>
  <c r="K450" i="1"/>
  <c r="L450" i="1" s="1"/>
  <c r="J450" i="1"/>
  <c r="J449" i="1"/>
  <c r="K449" i="1" s="1"/>
  <c r="L449" i="1" s="1"/>
  <c r="J448" i="1"/>
  <c r="K448" i="1" s="1"/>
  <c r="L448" i="1" s="1"/>
  <c r="J447" i="1"/>
  <c r="K447" i="1" s="1"/>
  <c r="L447" i="1" s="1"/>
  <c r="J446" i="1"/>
  <c r="K446" i="1" s="1"/>
  <c r="L446" i="1" s="1"/>
  <c r="J445" i="1"/>
  <c r="K445" i="1" s="1"/>
  <c r="L445" i="1" s="1"/>
  <c r="J444" i="1"/>
  <c r="K444" i="1" s="1"/>
  <c r="L444" i="1" s="1"/>
  <c r="J443" i="1"/>
  <c r="K443" i="1" s="1"/>
  <c r="L443" i="1" s="1"/>
  <c r="L442" i="1"/>
  <c r="K442" i="1"/>
  <c r="J442" i="1"/>
  <c r="J441" i="1"/>
  <c r="K441" i="1" s="1"/>
  <c r="L441" i="1" s="1"/>
  <c r="J440" i="1"/>
  <c r="K440" i="1" s="1"/>
  <c r="L440" i="1" s="1"/>
  <c r="J439" i="1"/>
  <c r="K439" i="1" s="1"/>
  <c r="L439" i="1" s="1"/>
  <c r="J438" i="1"/>
  <c r="K438" i="1" s="1"/>
  <c r="L438" i="1" s="1"/>
  <c r="J437" i="1"/>
  <c r="K437" i="1" s="1"/>
  <c r="L437" i="1" s="1"/>
  <c r="J436" i="1"/>
  <c r="K436" i="1" s="1"/>
  <c r="L436" i="1" s="1"/>
  <c r="J435" i="1"/>
  <c r="K435" i="1" s="1"/>
  <c r="L435" i="1" s="1"/>
  <c r="L434" i="1"/>
  <c r="K434" i="1"/>
  <c r="J434" i="1"/>
  <c r="J433" i="1"/>
  <c r="K433" i="1" s="1"/>
  <c r="L433" i="1" s="1"/>
  <c r="J432" i="1"/>
  <c r="K432" i="1" s="1"/>
  <c r="L432" i="1" s="1"/>
  <c r="J431" i="1"/>
  <c r="K431" i="1" s="1"/>
  <c r="L431" i="1" s="1"/>
  <c r="J430" i="1"/>
  <c r="K430" i="1" s="1"/>
  <c r="L430" i="1" s="1"/>
  <c r="J429" i="1"/>
  <c r="K429" i="1" s="1"/>
  <c r="L429" i="1" s="1"/>
  <c r="J428" i="1"/>
  <c r="K428" i="1" s="1"/>
  <c r="L428" i="1" s="1"/>
  <c r="J427" i="1"/>
  <c r="K427" i="1" s="1"/>
  <c r="L427" i="1" s="1"/>
  <c r="L426" i="1"/>
  <c r="K426" i="1"/>
  <c r="J426" i="1"/>
  <c r="J425" i="1"/>
  <c r="K425" i="1" s="1"/>
  <c r="L425" i="1" s="1"/>
  <c r="J424" i="1"/>
  <c r="K424" i="1" s="1"/>
  <c r="L424" i="1" s="1"/>
  <c r="J423" i="1"/>
  <c r="K423" i="1" s="1"/>
  <c r="L423" i="1" s="1"/>
  <c r="J422" i="1"/>
  <c r="K422" i="1" s="1"/>
  <c r="L422" i="1" s="1"/>
  <c r="J421" i="1"/>
  <c r="K421" i="1" s="1"/>
  <c r="L421" i="1" s="1"/>
  <c r="J420" i="1"/>
  <c r="K420" i="1" s="1"/>
  <c r="L420" i="1" s="1"/>
  <c r="J419" i="1"/>
  <c r="K419" i="1" s="1"/>
  <c r="L419" i="1" s="1"/>
  <c r="L418" i="1"/>
  <c r="K418" i="1"/>
  <c r="J418" i="1"/>
  <c r="J417" i="1"/>
  <c r="K417" i="1" s="1"/>
  <c r="L417" i="1" s="1"/>
  <c r="J416" i="1"/>
  <c r="K416" i="1" s="1"/>
  <c r="L416" i="1" s="1"/>
  <c r="J415" i="1"/>
  <c r="K415" i="1" s="1"/>
  <c r="L415" i="1" s="1"/>
  <c r="J414" i="1"/>
  <c r="K414" i="1" s="1"/>
  <c r="L414" i="1" s="1"/>
  <c r="J413" i="1"/>
  <c r="K413" i="1" s="1"/>
  <c r="L413" i="1" s="1"/>
  <c r="J412" i="1"/>
  <c r="K412" i="1" s="1"/>
  <c r="L412" i="1" s="1"/>
  <c r="J411" i="1"/>
  <c r="K411" i="1" s="1"/>
  <c r="L411" i="1" s="1"/>
  <c r="L410" i="1"/>
  <c r="K410" i="1"/>
  <c r="J410" i="1"/>
  <c r="J409" i="1"/>
  <c r="K409" i="1" s="1"/>
  <c r="L409" i="1" s="1"/>
  <c r="J408" i="1"/>
  <c r="K408" i="1" s="1"/>
  <c r="L408" i="1" s="1"/>
  <c r="J407" i="1"/>
  <c r="K407" i="1" s="1"/>
  <c r="L407" i="1" s="1"/>
  <c r="J406" i="1"/>
  <c r="K406" i="1" s="1"/>
  <c r="L406" i="1" s="1"/>
  <c r="J405" i="1"/>
  <c r="K405" i="1" s="1"/>
  <c r="L405" i="1" s="1"/>
  <c r="J404" i="1"/>
  <c r="K404" i="1" s="1"/>
  <c r="L404" i="1" s="1"/>
  <c r="J403" i="1"/>
  <c r="K403" i="1" s="1"/>
  <c r="L403" i="1" s="1"/>
  <c r="L402" i="1"/>
  <c r="K402" i="1"/>
  <c r="J402" i="1"/>
  <c r="J401" i="1"/>
  <c r="K401" i="1" s="1"/>
  <c r="L401" i="1" s="1"/>
  <c r="J400" i="1"/>
  <c r="K400" i="1" s="1"/>
  <c r="L400" i="1" s="1"/>
  <c r="J399" i="1"/>
  <c r="K399" i="1" s="1"/>
  <c r="L399" i="1" s="1"/>
  <c r="J398" i="1"/>
  <c r="K398" i="1" s="1"/>
  <c r="L398" i="1" s="1"/>
  <c r="J397" i="1"/>
  <c r="K397" i="1" s="1"/>
  <c r="L397" i="1" s="1"/>
  <c r="J396" i="1"/>
  <c r="K396" i="1" s="1"/>
  <c r="L396" i="1" s="1"/>
  <c r="J395" i="1"/>
  <c r="K395" i="1" s="1"/>
  <c r="L395" i="1" s="1"/>
  <c r="L394" i="1"/>
  <c r="K394" i="1"/>
  <c r="J394" i="1"/>
  <c r="J393" i="1"/>
  <c r="K393" i="1" s="1"/>
  <c r="L393" i="1" s="1"/>
  <c r="J392" i="1"/>
  <c r="K392" i="1" s="1"/>
  <c r="L392" i="1" s="1"/>
  <c r="J391" i="1"/>
  <c r="K391" i="1" s="1"/>
  <c r="L391" i="1" s="1"/>
  <c r="J390" i="1"/>
  <c r="K390" i="1" s="1"/>
  <c r="L390" i="1" s="1"/>
  <c r="L389" i="1"/>
  <c r="J389" i="1"/>
  <c r="K389" i="1" s="1"/>
  <c r="J388" i="1"/>
  <c r="K388" i="1" s="1"/>
  <c r="L388" i="1" s="1"/>
  <c r="J387" i="1"/>
  <c r="K387" i="1" s="1"/>
  <c r="L387" i="1" s="1"/>
  <c r="J386" i="1"/>
  <c r="K386" i="1" s="1"/>
  <c r="L386" i="1" s="1"/>
  <c r="L385" i="1"/>
  <c r="J385" i="1"/>
  <c r="K385" i="1" s="1"/>
  <c r="J384" i="1"/>
  <c r="K384" i="1" s="1"/>
  <c r="L384" i="1" s="1"/>
  <c r="J383" i="1"/>
  <c r="K383" i="1" s="1"/>
  <c r="L383" i="1" s="1"/>
  <c r="K382" i="1"/>
  <c r="L382" i="1" s="1"/>
  <c r="J382" i="1"/>
  <c r="L381" i="1"/>
  <c r="J381" i="1"/>
  <c r="K381" i="1" s="1"/>
  <c r="J380" i="1"/>
  <c r="K380" i="1" s="1"/>
  <c r="L380" i="1" s="1"/>
  <c r="J379" i="1"/>
  <c r="K379" i="1" s="1"/>
  <c r="L379" i="1" s="1"/>
  <c r="K378" i="1"/>
  <c r="L378" i="1" s="1"/>
  <c r="J378" i="1"/>
  <c r="J377" i="1"/>
  <c r="K377" i="1" s="1"/>
  <c r="L377" i="1" s="1"/>
  <c r="J376" i="1"/>
  <c r="K376" i="1" s="1"/>
  <c r="L376" i="1" s="1"/>
  <c r="J375" i="1"/>
  <c r="K375" i="1" s="1"/>
  <c r="L375" i="1" s="1"/>
  <c r="K374" i="1"/>
  <c r="L374" i="1" s="1"/>
  <c r="J374" i="1"/>
  <c r="L373" i="1"/>
  <c r="J373" i="1"/>
  <c r="K373" i="1" s="1"/>
  <c r="J372" i="1"/>
  <c r="K372" i="1" s="1"/>
  <c r="L372" i="1" s="1"/>
  <c r="J371" i="1"/>
  <c r="K371" i="1" s="1"/>
  <c r="L371" i="1" s="1"/>
  <c r="J370" i="1"/>
  <c r="K370" i="1" s="1"/>
  <c r="L370" i="1" s="1"/>
  <c r="J369" i="1"/>
  <c r="K369" i="1" s="1"/>
  <c r="L369" i="1" s="1"/>
  <c r="J368" i="1"/>
  <c r="K368" i="1" s="1"/>
  <c r="L368" i="1" s="1"/>
  <c r="J367" i="1"/>
  <c r="K367" i="1" s="1"/>
  <c r="L367" i="1" s="1"/>
  <c r="L366" i="1"/>
  <c r="K366" i="1"/>
  <c r="J366" i="1"/>
  <c r="J365" i="1"/>
  <c r="K365" i="1" s="1"/>
  <c r="L365" i="1" s="1"/>
  <c r="J364" i="1"/>
  <c r="K364" i="1" s="1"/>
  <c r="L364" i="1" s="1"/>
  <c r="J363" i="1"/>
  <c r="K363" i="1" s="1"/>
  <c r="L363" i="1" s="1"/>
  <c r="J362" i="1"/>
  <c r="K362" i="1" s="1"/>
  <c r="L362" i="1" s="1"/>
  <c r="J361" i="1"/>
  <c r="K361" i="1" s="1"/>
  <c r="L361" i="1" s="1"/>
  <c r="J360" i="1"/>
  <c r="K360" i="1" s="1"/>
  <c r="L360" i="1" s="1"/>
  <c r="J359" i="1"/>
  <c r="K359" i="1" s="1"/>
  <c r="L359" i="1" s="1"/>
  <c r="J358" i="1"/>
  <c r="K358" i="1" s="1"/>
  <c r="L358" i="1" s="1"/>
  <c r="L357" i="1"/>
  <c r="J357" i="1"/>
  <c r="K357" i="1" s="1"/>
  <c r="J356" i="1"/>
  <c r="K356" i="1" s="1"/>
  <c r="L356" i="1" s="1"/>
  <c r="J355" i="1"/>
  <c r="K355" i="1" s="1"/>
  <c r="L355" i="1" s="1"/>
  <c r="J354" i="1"/>
  <c r="K354" i="1" s="1"/>
  <c r="L354" i="1" s="1"/>
  <c r="L353" i="1"/>
  <c r="J353" i="1"/>
  <c r="K353" i="1" s="1"/>
  <c r="J352" i="1"/>
  <c r="K352" i="1" s="1"/>
  <c r="L352" i="1" s="1"/>
  <c r="J351" i="1"/>
  <c r="K351" i="1" s="1"/>
  <c r="L351" i="1" s="1"/>
  <c r="L350" i="1"/>
  <c r="K350" i="1"/>
  <c r="J350" i="1"/>
  <c r="J349" i="1"/>
  <c r="K349" i="1" s="1"/>
  <c r="L349" i="1" s="1"/>
  <c r="J348" i="1"/>
  <c r="K348" i="1" s="1"/>
  <c r="L348" i="1" s="1"/>
  <c r="J347" i="1"/>
  <c r="K347" i="1" s="1"/>
  <c r="L347" i="1" s="1"/>
  <c r="L346" i="1"/>
  <c r="K346" i="1"/>
  <c r="J346" i="1"/>
  <c r="J345" i="1"/>
  <c r="K345" i="1" s="1"/>
  <c r="L345" i="1" s="1"/>
  <c r="J344" i="1"/>
  <c r="K344" i="1" s="1"/>
  <c r="L344" i="1" s="1"/>
  <c r="J343" i="1"/>
  <c r="K343" i="1" s="1"/>
  <c r="L343" i="1" s="1"/>
  <c r="J342" i="1"/>
  <c r="K342" i="1" s="1"/>
  <c r="L342" i="1" s="1"/>
  <c r="L341" i="1"/>
  <c r="J341" i="1"/>
  <c r="K341" i="1" s="1"/>
  <c r="J340" i="1"/>
  <c r="K340" i="1" s="1"/>
  <c r="L340" i="1" s="1"/>
  <c r="J339" i="1"/>
  <c r="K339" i="1" s="1"/>
  <c r="L339" i="1" s="1"/>
  <c r="J338" i="1"/>
  <c r="K338" i="1" s="1"/>
  <c r="L338" i="1" s="1"/>
  <c r="L337" i="1"/>
  <c r="J337" i="1"/>
  <c r="K337" i="1" s="1"/>
  <c r="J336" i="1"/>
  <c r="K336" i="1" s="1"/>
  <c r="L336" i="1" s="1"/>
  <c r="J335" i="1"/>
  <c r="K335" i="1" s="1"/>
  <c r="L335" i="1" s="1"/>
  <c r="K334" i="1"/>
  <c r="L334" i="1" s="1"/>
  <c r="J334" i="1"/>
  <c r="L333" i="1"/>
  <c r="J333" i="1"/>
  <c r="K333" i="1" s="1"/>
  <c r="J332" i="1"/>
  <c r="K332" i="1" s="1"/>
  <c r="L332" i="1" s="1"/>
  <c r="J331" i="1"/>
  <c r="K331" i="1" s="1"/>
  <c r="L331" i="1" s="1"/>
  <c r="K330" i="1"/>
  <c r="L330" i="1" s="1"/>
  <c r="J330" i="1"/>
  <c r="J329" i="1"/>
  <c r="K329" i="1" s="1"/>
  <c r="L329" i="1" s="1"/>
  <c r="J328" i="1"/>
  <c r="K328" i="1" s="1"/>
  <c r="L328" i="1" s="1"/>
  <c r="J327" i="1"/>
  <c r="K327" i="1" s="1"/>
  <c r="L327" i="1" s="1"/>
  <c r="L326" i="1"/>
  <c r="K326" i="1"/>
  <c r="J326" i="1"/>
  <c r="L325" i="1"/>
  <c r="J325" i="1"/>
  <c r="K325" i="1" s="1"/>
  <c r="J324" i="1"/>
  <c r="K324" i="1" s="1"/>
  <c r="L324" i="1" s="1"/>
  <c r="J323" i="1"/>
  <c r="K323" i="1" s="1"/>
  <c r="L323" i="1" s="1"/>
  <c r="J322" i="1"/>
  <c r="K322" i="1" s="1"/>
  <c r="L322" i="1" s="1"/>
  <c r="J321" i="1"/>
  <c r="K321" i="1" s="1"/>
  <c r="L321" i="1" s="1"/>
  <c r="J320" i="1"/>
  <c r="K320" i="1" s="1"/>
  <c r="L320" i="1" s="1"/>
  <c r="J319" i="1"/>
  <c r="K319" i="1" s="1"/>
  <c r="L319" i="1" s="1"/>
  <c r="L318" i="1"/>
  <c r="K318" i="1"/>
  <c r="J318" i="1"/>
  <c r="J317" i="1"/>
  <c r="K317" i="1" s="1"/>
  <c r="L317" i="1" s="1"/>
  <c r="J316" i="1"/>
  <c r="K316" i="1" s="1"/>
  <c r="L316" i="1" s="1"/>
  <c r="J315" i="1"/>
  <c r="K315" i="1" s="1"/>
  <c r="L315" i="1" s="1"/>
  <c r="J314" i="1"/>
  <c r="K314" i="1" s="1"/>
  <c r="L314" i="1" s="1"/>
  <c r="J313" i="1"/>
  <c r="K313" i="1" s="1"/>
  <c r="L313" i="1" s="1"/>
  <c r="J312" i="1"/>
  <c r="K312" i="1" s="1"/>
  <c r="L312" i="1" s="1"/>
  <c r="J311" i="1"/>
  <c r="K311" i="1" s="1"/>
  <c r="L311" i="1" s="1"/>
  <c r="J310" i="1"/>
  <c r="K310" i="1" s="1"/>
  <c r="L310" i="1" s="1"/>
  <c r="L309" i="1"/>
  <c r="J309" i="1"/>
  <c r="K309" i="1" s="1"/>
  <c r="J308" i="1"/>
  <c r="K308" i="1" s="1"/>
  <c r="L308" i="1" s="1"/>
  <c r="J307" i="1"/>
  <c r="K307" i="1" s="1"/>
  <c r="L307" i="1" s="1"/>
  <c r="L306" i="1"/>
  <c r="J306" i="1"/>
  <c r="K306" i="1" s="1"/>
  <c r="L305" i="1"/>
  <c r="J305" i="1"/>
  <c r="K305" i="1" s="1"/>
  <c r="J304" i="1"/>
  <c r="K304" i="1" s="1"/>
  <c r="L304" i="1" s="1"/>
  <c r="J303" i="1"/>
  <c r="K303" i="1" s="1"/>
  <c r="L303" i="1" s="1"/>
  <c r="L302" i="1"/>
  <c r="K302" i="1"/>
  <c r="J302" i="1"/>
  <c r="J301" i="1"/>
  <c r="K301" i="1" s="1"/>
  <c r="L301" i="1" s="1"/>
  <c r="J300" i="1"/>
  <c r="K300" i="1" s="1"/>
  <c r="L300" i="1" s="1"/>
  <c r="J299" i="1"/>
  <c r="K299" i="1" s="1"/>
  <c r="L299" i="1" s="1"/>
  <c r="L298" i="1"/>
  <c r="K298" i="1"/>
  <c r="J298" i="1"/>
  <c r="J297" i="1"/>
  <c r="K297" i="1" s="1"/>
  <c r="L297" i="1" s="1"/>
  <c r="J296" i="1"/>
  <c r="K296" i="1" s="1"/>
  <c r="L296" i="1" s="1"/>
  <c r="J295" i="1"/>
  <c r="K295" i="1" s="1"/>
  <c r="L295" i="1" s="1"/>
  <c r="J294" i="1"/>
  <c r="K294" i="1" s="1"/>
  <c r="L294" i="1" s="1"/>
  <c r="L293" i="1"/>
  <c r="J293" i="1"/>
  <c r="K293" i="1" s="1"/>
  <c r="J292" i="1"/>
  <c r="K292" i="1" s="1"/>
  <c r="L292" i="1" s="1"/>
  <c r="J291" i="1"/>
  <c r="K291" i="1" s="1"/>
  <c r="L291" i="1" s="1"/>
  <c r="J290" i="1"/>
  <c r="K290" i="1" s="1"/>
  <c r="L290" i="1" s="1"/>
  <c r="L289" i="1"/>
  <c r="J289" i="1"/>
  <c r="K289" i="1" s="1"/>
  <c r="J288" i="1"/>
  <c r="K288" i="1" s="1"/>
  <c r="L288" i="1" s="1"/>
  <c r="J287" i="1"/>
  <c r="K287" i="1" s="1"/>
  <c r="L287" i="1" s="1"/>
  <c r="K286" i="1"/>
  <c r="L286" i="1" s="1"/>
  <c r="J286" i="1"/>
  <c r="L285" i="1"/>
  <c r="J285" i="1"/>
  <c r="K285" i="1" s="1"/>
  <c r="J284" i="1"/>
  <c r="K284" i="1" s="1"/>
  <c r="L284" i="1" s="1"/>
  <c r="J283" i="1"/>
  <c r="K283" i="1" s="1"/>
  <c r="L283" i="1" s="1"/>
  <c r="K282" i="1"/>
  <c r="L282" i="1" s="1"/>
  <c r="J282" i="1"/>
  <c r="J281" i="1"/>
  <c r="K281" i="1" s="1"/>
  <c r="L281" i="1" s="1"/>
  <c r="J280" i="1"/>
  <c r="K280" i="1" s="1"/>
  <c r="L280" i="1" s="1"/>
  <c r="J279" i="1"/>
  <c r="K279" i="1" s="1"/>
  <c r="L279" i="1" s="1"/>
  <c r="K278" i="1"/>
  <c r="L278" i="1" s="1"/>
  <c r="J278" i="1"/>
  <c r="L277" i="1"/>
  <c r="J277" i="1"/>
  <c r="K277" i="1" s="1"/>
  <c r="J276" i="1"/>
  <c r="K276" i="1" s="1"/>
  <c r="L276" i="1" s="1"/>
  <c r="J275" i="1"/>
  <c r="K275" i="1" s="1"/>
  <c r="L275" i="1" s="1"/>
  <c r="J274" i="1"/>
  <c r="K274" i="1" s="1"/>
  <c r="L274" i="1" s="1"/>
  <c r="J273" i="1"/>
  <c r="K273" i="1" s="1"/>
  <c r="L273" i="1" s="1"/>
  <c r="J272" i="1"/>
  <c r="K272" i="1" s="1"/>
  <c r="L272" i="1" s="1"/>
  <c r="J271" i="1"/>
  <c r="K271" i="1" s="1"/>
  <c r="L271" i="1" s="1"/>
  <c r="L270" i="1"/>
  <c r="K270" i="1"/>
  <c r="J270" i="1"/>
  <c r="J269" i="1"/>
  <c r="K269" i="1" s="1"/>
  <c r="L269" i="1" s="1"/>
  <c r="J268" i="1"/>
  <c r="K268" i="1" s="1"/>
  <c r="L268" i="1" s="1"/>
  <c r="J267" i="1"/>
  <c r="K267" i="1" s="1"/>
  <c r="L267" i="1" s="1"/>
  <c r="J266" i="1"/>
  <c r="K266" i="1" s="1"/>
  <c r="L266" i="1" s="1"/>
  <c r="J265" i="1"/>
  <c r="K265" i="1" s="1"/>
  <c r="L265" i="1" s="1"/>
  <c r="J264" i="1"/>
  <c r="K264" i="1" s="1"/>
  <c r="L264" i="1" s="1"/>
  <c r="J263" i="1"/>
  <c r="K263" i="1" s="1"/>
  <c r="L263" i="1" s="1"/>
  <c r="J262" i="1"/>
  <c r="K262" i="1" s="1"/>
  <c r="L262" i="1" s="1"/>
  <c r="L261" i="1"/>
  <c r="J261" i="1"/>
  <c r="K261" i="1" s="1"/>
  <c r="J260" i="1"/>
  <c r="K260" i="1" s="1"/>
  <c r="L260" i="1" s="1"/>
  <c r="J259" i="1"/>
  <c r="K259" i="1" s="1"/>
  <c r="L259" i="1" s="1"/>
  <c r="J258" i="1"/>
  <c r="K258" i="1" s="1"/>
  <c r="L258" i="1" s="1"/>
  <c r="L257" i="1"/>
  <c r="J257" i="1"/>
  <c r="K257" i="1" s="1"/>
  <c r="J256" i="1"/>
  <c r="K256" i="1" s="1"/>
  <c r="L256" i="1" s="1"/>
  <c r="J255" i="1"/>
  <c r="K255" i="1" s="1"/>
  <c r="L255" i="1" s="1"/>
  <c r="L254" i="1"/>
  <c r="K254" i="1"/>
  <c r="J254" i="1"/>
  <c r="J253" i="1"/>
  <c r="K253" i="1" s="1"/>
  <c r="L253" i="1" s="1"/>
  <c r="J252" i="1"/>
  <c r="K252" i="1" s="1"/>
  <c r="L252" i="1" s="1"/>
  <c r="J251" i="1"/>
  <c r="K251" i="1" s="1"/>
  <c r="L251" i="1" s="1"/>
  <c r="L250" i="1"/>
  <c r="K250" i="1"/>
  <c r="J250" i="1"/>
  <c r="J249" i="1"/>
  <c r="K249" i="1" s="1"/>
  <c r="L249" i="1" s="1"/>
  <c r="J248" i="1"/>
  <c r="K248" i="1" s="1"/>
  <c r="L248" i="1" s="1"/>
  <c r="J247" i="1"/>
  <c r="K247" i="1" s="1"/>
  <c r="L247" i="1" s="1"/>
  <c r="J246" i="1"/>
  <c r="K246" i="1" s="1"/>
  <c r="L246" i="1" s="1"/>
  <c r="J245" i="1"/>
  <c r="K245" i="1" s="1"/>
  <c r="L245" i="1" s="1"/>
  <c r="J244" i="1"/>
  <c r="K244" i="1" s="1"/>
  <c r="L244" i="1" s="1"/>
  <c r="J243" i="1"/>
  <c r="K243" i="1" s="1"/>
  <c r="L243" i="1" s="1"/>
  <c r="J242" i="1"/>
  <c r="K242" i="1" s="1"/>
  <c r="L242" i="1" s="1"/>
  <c r="L241" i="1"/>
  <c r="J241" i="1"/>
  <c r="K241" i="1" s="1"/>
  <c r="J240" i="1"/>
  <c r="K240" i="1" s="1"/>
  <c r="L240" i="1" s="1"/>
  <c r="J239" i="1"/>
  <c r="K239" i="1" s="1"/>
  <c r="L239" i="1" s="1"/>
  <c r="K238" i="1"/>
  <c r="L238" i="1" s="1"/>
  <c r="J238" i="1"/>
  <c r="L237" i="1"/>
  <c r="J237" i="1"/>
  <c r="K237" i="1" s="1"/>
  <c r="J236" i="1"/>
  <c r="K236" i="1" s="1"/>
  <c r="L236" i="1" s="1"/>
  <c r="J235" i="1"/>
  <c r="K235" i="1" s="1"/>
  <c r="L235" i="1" s="1"/>
  <c r="K234" i="1"/>
  <c r="L234" i="1" s="1"/>
  <c r="J234" i="1"/>
  <c r="J233" i="1"/>
  <c r="K233" i="1" s="1"/>
  <c r="L233" i="1" s="1"/>
  <c r="J232" i="1"/>
  <c r="K232" i="1" s="1"/>
  <c r="L232" i="1" s="1"/>
  <c r="J231" i="1"/>
  <c r="K231" i="1" s="1"/>
  <c r="L231" i="1" s="1"/>
  <c r="K230" i="1"/>
  <c r="L230" i="1" s="1"/>
  <c r="J230" i="1"/>
  <c r="L229" i="1"/>
  <c r="J229" i="1"/>
  <c r="K229" i="1" s="1"/>
  <c r="J228" i="1"/>
  <c r="K228" i="1" s="1"/>
  <c r="L228" i="1" s="1"/>
  <c r="J227" i="1"/>
  <c r="K227" i="1" s="1"/>
  <c r="L227" i="1" s="1"/>
  <c r="J226" i="1"/>
  <c r="K226" i="1" s="1"/>
  <c r="L226" i="1" s="1"/>
  <c r="J225" i="1"/>
  <c r="K225" i="1" s="1"/>
  <c r="L225" i="1" s="1"/>
  <c r="J224" i="1"/>
  <c r="K224" i="1" s="1"/>
  <c r="L224" i="1" s="1"/>
  <c r="J223" i="1"/>
  <c r="K223" i="1" s="1"/>
  <c r="L223" i="1" s="1"/>
  <c r="L222" i="1"/>
  <c r="K222" i="1"/>
  <c r="J222" i="1"/>
  <c r="J221" i="1"/>
  <c r="K221" i="1" s="1"/>
  <c r="L221" i="1" s="1"/>
  <c r="J220" i="1"/>
  <c r="K220" i="1" s="1"/>
  <c r="L220" i="1" s="1"/>
  <c r="J219" i="1"/>
  <c r="K219" i="1" s="1"/>
  <c r="L219" i="1" s="1"/>
  <c r="J218" i="1"/>
  <c r="K218" i="1" s="1"/>
  <c r="L218" i="1" s="1"/>
  <c r="J217" i="1"/>
  <c r="K217" i="1" s="1"/>
  <c r="L217" i="1" s="1"/>
  <c r="J216" i="1"/>
  <c r="K216" i="1" s="1"/>
  <c r="L216" i="1" s="1"/>
  <c r="J215" i="1"/>
  <c r="K215" i="1" s="1"/>
  <c r="L215" i="1" s="1"/>
  <c r="J214" i="1"/>
  <c r="K214" i="1" s="1"/>
  <c r="L214" i="1" s="1"/>
  <c r="L213" i="1"/>
  <c r="J213" i="1"/>
  <c r="K213" i="1" s="1"/>
  <c r="J212" i="1"/>
  <c r="K212" i="1" s="1"/>
  <c r="L212" i="1" s="1"/>
  <c r="J211" i="1"/>
  <c r="K211" i="1" s="1"/>
  <c r="L211" i="1" s="1"/>
  <c r="J210" i="1"/>
  <c r="K210" i="1" s="1"/>
  <c r="L210" i="1" s="1"/>
  <c r="L209" i="1"/>
  <c r="J209" i="1"/>
  <c r="K209" i="1" s="1"/>
  <c r="J208" i="1"/>
  <c r="K208" i="1" s="1"/>
  <c r="L208" i="1" s="1"/>
  <c r="L207" i="1"/>
  <c r="J207" i="1"/>
  <c r="K207" i="1" s="1"/>
  <c r="J206" i="1"/>
  <c r="K206" i="1" s="1"/>
  <c r="L206" i="1" s="1"/>
  <c r="K205" i="1"/>
  <c r="L205" i="1" s="1"/>
  <c r="J205" i="1"/>
  <c r="K204" i="1"/>
  <c r="L204" i="1" s="1"/>
  <c r="J204" i="1"/>
  <c r="J203" i="1"/>
  <c r="K203" i="1" s="1"/>
  <c r="L203" i="1" s="1"/>
  <c r="L202" i="1"/>
  <c r="K202" i="1"/>
  <c r="J202" i="1"/>
  <c r="J201" i="1"/>
  <c r="K201" i="1" s="1"/>
  <c r="L201" i="1" s="1"/>
  <c r="J200" i="1"/>
  <c r="K200" i="1" s="1"/>
  <c r="L200" i="1" s="1"/>
  <c r="L199" i="1"/>
  <c r="J199" i="1"/>
  <c r="K199" i="1" s="1"/>
  <c r="J198" i="1"/>
  <c r="K198" i="1" s="1"/>
  <c r="L198" i="1" s="1"/>
  <c r="J197" i="1"/>
  <c r="K197" i="1" s="1"/>
  <c r="L197" i="1" s="1"/>
  <c r="J196" i="1"/>
  <c r="K196" i="1" s="1"/>
  <c r="L196" i="1" s="1"/>
  <c r="L195" i="1"/>
  <c r="J195" i="1"/>
  <c r="K195" i="1" s="1"/>
  <c r="L194" i="1"/>
  <c r="K194" i="1"/>
  <c r="J194" i="1"/>
  <c r="K193" i="1"/>
  <c r="L193" i="1" s="1"/>
  <c r="J193" i="1"/>
  <c r="J192" i="1"/>
  <c r="K192" i="1" s="1"/>
  <c r="L192" i="1" s="1"/>
  <c r="J191" i="1"/>
  <c r="K191" i="1" s="1"/>
  <c r="L191" i="1" s="1"/>
  <c r="K190" i="1"/>
  <c r="L190" i="1" s="1"/>
  <c r="J190" i="1"/>
  <c r="J189" i="1"/>
  <c r="K189" i="1" s="1"/>
  <c r="L189" i="1" s="1"/>
  <c r="J188" i="1"/>
  <c r="K188" i="1" s="1"/>
  <c r="L188" i="1" s="1"/>
  <c r="J187" i="1"/>
  <c r="K187" i="1" s="1"/>
  <c r="L187" i="1" s="1"/>
  <c r="K186" i="1"/>
  <c r="L186" i="1" s="1"/>
  <c r="J186" i="1"/>
  <c r="J185" i="1"/>
  <c r="K185" i="1" s="1"/>
  <c r="L185" i="1" s="1"/>
  <c r="L184" i="1"/>
  <c r="K184" i="1"/>
  <c r="J184" i="1"/>
  <c r="J183" i="1"/>
  <c r="K183" i="1" s="1"/>
  <c r="L183" i="1" s="1"/>
  <c r="L182" i="1"/>
  <c r="K182" i="1"/>
  <c r="J182" i="1"/>
  <c r="L181" i="1"/>
  <c r="K181" i="1"/>
  <c r="J181" i="1"/>
  <c r="K180" i="1"/>
  <c r="L180" i="1" s="1"/>
  <c r="J180" i="1"/>
  <c r="J179" i="1"/>
  <c r="K179" i="1" s="1"/>
  <c r="L179" i="1" s="1"/>
  <c r="J178" i="1"/>
  <c r="K178" i="1" s="1"/>
  <c r="L178" i="1" s="1"/>
  <c r="L177" i="1"/>
  <c r="K177" i="1"/>
  <c r="J177" i="1"/>
  <c r="J176" i="1"/>
  <c r="K176" i="1" s="1"/>
  <c r="L176" i="1" s="1"/>
  <c r="L175" i="1"/>
  <c r="J175" i="1"/>
  <c r="K175" i="1" s="1"/>
  <c r="K174" i="1"/>
  <c r="L174" i="1" s="1"/>
  <c r="J174" i="1"/>
  <c r="J173" i="1"/>
  <c r="K173" i="1" s="1"/>
  <c r="L173" i="1" s="1"/>
  <c r="J172" i="1"/>
  <c r="K172" i="1" s="1"/>
  <c r="L172" i="1" s="1"/>
  <c r="L171" i="1"/>
  <c r="J171" i="1"/>
  <c r="K171" i="1" s="1"/>
  <c r="J170" i="1"/>
  <c r="K170" i="1" s="1"/>
  <c r="L170" i="1" s="1"/>
  <c r="J169" i="1"/>
  <c r="K169" i="1" s="1"/>
  <c r="L169" i="1" s="1"/>
  <c r="L168" i="1"/>
  <c r="K168" i="1"/>
  <c r="J168" i="1"/>
  <c r="K167" i="1"/>
  <c r="L167" i="1" s="1"/>
  <c r="J167" i="1"/>
  <c r="J166" i="1"/>
  <c r="K166" i="1" s="1"/>
  <c r="L166" i="1" s="1"/>
  <c r="J165" i="1"/>
  <c r="K165" i="1" s="1"/>
  <c r="L165" i="1" s="1"/>
  <c r="L164" i="1"/>
  <c r="K164" i="1"/>
  <c r="J164" i="1"/>
  <c r="K163" i="1"/>
  <c r="L163" i="1" s="1"/>
  <c r="J163" i="1"/>
  <c r="J162" i="1"/>
  <c r="K162" i="1" s="1"/>
  <c r="L162" i="1" s="1"/>
  <c r="J161" i="1"/>
  <c r="K161" i="1" s="1"/>
  <c r="L161" i="1" s="1"/>
  <c r="L160" i="1"/>
  <c r="K160" i="1"/>
  <c r="J160" i="1"/>
  <c r="K159" i="1"/>
  <c r="L159" i="1" s="1"/>
  <c r="J159" i="1"/>
  <c r="J158" i="1"/>
  <c r="K158" i="1" s="1"/>
  <c r="L158" i="1" s="1"/>
  <c r="J157" i="1"/>
  <c r="K157" i="1" s="1"/>
  <c r="L157" i="1" s="1"/>
  <c r="L156" i="1"/>
  <c r="K156" i="1"/>
  <c r="J156" i="1"/>
  <c r="K155" i="1"/>
  <c r="L155" i="1" s="1"/>
  <c r="J155" i="1"/>
  <c r="J154" i="1"/>
  <c r="K154" i="1" s="1"/>
  <c r="L154" i="1" s="1"/>
  <c r="J153" i="1"/>
  <c r="K153" i="1" s="1"/>
  <c r="L153" i="1" s="1"/>
  <c r="L152" i="1"/>
  <c r="K152" i="1"/>
  <c r="J152" i="1"/>
  <c r="K151" i="1"/>
  <c r="L151" i="1" s="1"/>
  <c r="J151" i="1"/>
  <c r="J150" i="1"/>
  <c r="K150" i="1" s="1"/>
  <c r="L150" i="1" s="1"/>
  <c r="J149" i="1"/>
  <c r="K149" i="1" s="1"/>
  <c r="L149" i="1" s="1"/>
  <c r="L148" i="1"/>
  <c r="K148" i="1"/>
  <c r="J148" i="1"/>
  <c r="K147" i="1"/>
  <c r="L147" i="1" s="1"/>
  <c r="J147" i="1"/>
  <c r="J146" i="1"/>
  <c r="K146" i="1" s="1"/>
  <c r="L146" i="1" s="1"/>
  <c r="J145" i="1"/>
  <c r="K145" i="1" s="1"/>
  <c r="L145" i="1" s="1"/>
  <c r="L144" i="1"/>
  <c r="K144" i="1"/>
  <c r="J144" i="1"/>
  <c r="K143" i="1"/>
  <c r="L143" i="1" s="1"/>
  <c r="J143" i="1"/>
  <c r="J142" i="1"/>
  <c r="K142" i="1" s="1"/>
  <c r="L142" i="1" s="1"/>
  <c r="J141" i="1"/>
  <c r="K141" i="1" s="1"/>
  <c r="L141" i="1" s="1"/>
  <c r="K140" i="1"/>
  <c r="L140" i="1" s="1"/>
  <c r="J140" i="1"/>
  <c r="K139" i="1"/>
  <c r="L139" i="1" s="1"/>
  <c r="J139" i="1"/>
  <c r="J138" i="1"/>
  <c r="K138" i="1" s="1"/>
  <c r="L138" i="1" s="1"/>
  <c r="J137" i="1"/>
  <c r="K137" i="1" s="1"/>
  <c r="L137" i="1" s="1"/>
  <c r="L136" i="1"/>
  <c r="K136" i="1"/>
  <c r="J136" i="1"/>
  <c r="K135" i="1"/>
  <c r="L135" i="1" s="1"/>
  <c r="J135" i="1"/>
  <c r="J134" i="1"/>
  <c r="K134" i="1" s="1"/>
  <c r="L134" i="1" s="1"/>
  <c r="J133" i="1"/>
  <c r="K133" i="1" s="1"/>
  <c r="L133" i="1" s="1"/>
  <c r="K132" i="1"/>
  <c r="L132" i="1" s="1"/>
  <c r="J132" i="1"/>
  <c r="K131" i="1"/>
  <c r="L131" i="1" s="1"/>
  <c r="J131" i="1"/>
  <c r="J130" i="1"/>
  <c r="K130" i="1" s="1"/>
  <c r="L130" i="1" s="1"/>
  <c r="J129" i="1"/>
  <c r="K129" i="1" s="1"/>
  <c r="L129" i="1" s="1"/>
  <c r="L128" i="1"/>
  <c r="K128" i="1"/>
  <c r="J128" i="1"/>
  <c r="K127" i="1"/>
  <c r="L127" i="1" s="1"/>
  <c r="J127" i="1"/>
  <c r="J126" i="1"/>
  <c r="K126" i="1" s="1"/>
  <c r="L126" i="1" s="1"/>
  <c r="J125" i="1"/>
  <c r="K125" i="1" s="1"/>
  <c r="L125" i="1" s="1"/>
  <c r="K124" i="1"/>
  <c r="L124" i="1" s="1"/>
  <c r="J124" i="1"/>
  <c r="K123" i="1"/>
  <c r="L123" i="1" s="1"/>
  <c r="J123" i="1"/>
  <c r="J122" i="1"/>
  <c r="K122" i="1" s="1"/>
  <c r="L122" i="1" s="1"/>
  <c r="J121" i="1"/>
  <c r="K121" i="1" s="1"/>
  <c r="L121" i="1" s="1"/>
  <c r="L120" i="1"/>
  <c r="K120" i="1"/>
  <c r="J120" i="1"/>
  <c r="K119" i="1"/>
  <c r="L119" i="1" s="1"/>
  <c r="J119" i="1"/>
  <c r="J118" i="1"/>
  <c r="K118" i="1" s="1"/>
  <c r="L118" i="1" s="1"/>
  <c r="J117" i="1"/>
  <c r="K117" i="1" s="1"/>
  <c r="L117" i="1" s="1"/>
  <c r="K116" i="1"/>
  <c r="L116" i="1" s="1"/>
  <c r="J116" i="1"/>
  <c r="K115" i="1"/>
  <c r="L115" i="1" s="1"/>
  <c r="J115" i="1"/>
  <c r="J114" i="1"/>
  <c r="K114" i="1" s="1"/>
  <c r="L114" i="1" s="1"/>
  <c r="J113" i="1"/>
  <c r="K113" i="1" s="1"/>
  <c r="L113" i="1" s="1"/>
  <c r="L112" i="1"/>
  <c r="K112" i="1"/>
  <c r="J112" i="1"/>
  <c r="K111" i="1"/>
  <c r="L111" i="1" s="1"/>
  <c r="J111" i="1"/>
  <c r="J110" i="1"/>
  <c r="K110" i="1" s="1"/>
  <c r="L110" i="1" s="1"/>
  <c r="J109" i="1"/>
  <c r="K109" i="1" s="1"/>
  <c r="L109" i="1" s="1"/>
  <c r="K108" i="1"/>
  <c r="L108" i="1" s="1"/>
  <c r="J108" i="1"/>
  <c r="K107" i="1"/>
  <c r="L107" i="1" s="1"/>
  <c r="J107" i="1"/>
  <c r="J106" i="1"/>
  <c r="K106" i="1" s="1"/>
  <c r="L106" i="1" s="1"/>
  <c r="J105" i="1"/>
  <c r="K105" i="1" s="1"/>
  <c r="L105" i="1" s="1"/>
  <c r="L104" i="1"/>
  <c r="K104" i="1"/>
  <c r="J104" i="1"/>
  <c r="K103" i="1"/>
  <c r="L103" i="1" s="1"/>
  <c r="J103" i="1"/>
  <c r="J102" i="1"/>
  <c r="K102" i="1" s="1"/>
  <c r="L102" i="1" s="1"/>
  <c r="J101" i="1"/>
  <c r="K101" i="1" s="1"/>
  <c r="L101" i="1" s="1"/>
  <c r="L100" i="1"/>
  <c r="K100" i="1"/>
  <c r="J100" i="1"/>
  <c r="K99" i="1"/>
  <c r="L99" i="1" s="1"/>
  <c r="J99" i="1"/>
  <c r="J98" i="1"/>
  <c r="K98" i="1" s="1"/>
  <c r="L98" i="1" s="1"/>
  <c r="J97" i="1"/>
  <c r="K97" i="1" s="1"/>
  <c r="L97" i="1" s="1"/>
  <c r="L96" i="1"/>
  <c r="K96" i="1"/>
  <c r="J96" i="1"/>
  <c r="K95" i="1"/>
  <c r="L95" i="1" s="1"/>
  <c r="J95" i="1"/>
  <c r="J94" i="1"/>
  <c r="K94" i="1" s="1"/>
  <c r="L94" i="1" s="1"/>
  <c r="J93" i="1"/>
  <c r="K93" i="1" s="1"/>
  <c r="L93" i="1" s="1"/>
  <c r="K92" i="1"/>
  <c r="L92" i="1" s="1"/>
  <c r="J92" i="1"/>
  <c r="K91" i="1"/>
  <c r="L91" i="1" s="1"/>
  <c r="J91" i="1"/>
  <c r="J90" i="1"/>
  <c r="K90" i="1" s="1"/>
  <c r="L90" i="1" s="1"/>
  <c r="J89" i="1"/>
  <c r="K89" i="1" s="1"/>
  <c r="L89" i="1" s="1"/>
  <c r="L88" i="1"/>
  <c r="K88" i="1"/>
  <c r="J88" i="1"/>
  <c r="K87" i="1"/>
  <c r="L87" i="1" s="1"/>
  <c r="J87" i="1"/>
  <c r="J86" i="1"/>
  <c r="K86" i="1" s="1"/>
  <c r="L86" i="1" s="1"/>
  <c r="J85" i="1"/>
  <c r="K85" i="1" s="1"/>
  <c r="L85" i="1" s="1"/>
  <c r="L84" i="1"/>
  <c r="K84" i="1"/>
  <c r="J84" i="1"/>
  <c r="K83" i="1"/>
  <c r="L83" i="1" s="1"/>
  <c r="J83" i="1"/>
  <c r="J82" i="1"/>
  <c r="K82" i="1" s="1"/>
  <c r="L82" i="1" s="1"/>
  <c r="J81" i="1"/>
  <c r="K81" i="1" s="1"/>
  <c r="L81" i="1" s="1"/>
  <c r="L80" i="1"/>
  <c r="K80" i="1"/>
  <c r="J80" i="1"/>
  <c r="K79" i="1"/>
  <c r="L79" i="1" s="1"/>
  <c r="J79" i="1"/>
  <c r="J78" i="1"/>
  <c r="K78" i="1" s="1"/>
  <c r="L78" i="1" s="1"/>
  <c r="J77" i="1"/>
  <c r="K77" i="1" s="1"/>
  <c r="L77" i="1" s="1"/>
  <c r="K76" i="1"/>
  <c r="L76" i="1" s="1"/>
  <c r="J76" i="1"/>
  <c r="K75" i="1"/>
  <c r="L75" i="1" s="1"/>
  <c r="J75" i="1"/>
  <c r="J74" i="1"/>
  <c r="K74" i="1" s="1"/>
  <c r="L74" i="1" s="1"/>
  <c r="J73" i="1"/>
  <c r="K73" i="1" s="1"/>
  <c r="L73" i="1" s="1"/>
  <c r="L72" i="1"/>
  <c r="K72" i="1"/>
  <c r="J72" i="1"/>
  <c r="K71" i="1"/>
  <c r="L71" i="1" s="1"/>
  <c r="J71" i="1"/>
  <c r="J70" i="1"/>
  <c r="K70" i="1" s="1"/>
  <c r="L70" i="1" s="1"/>
  <c r="J69" i="1"/>
  <c r="K69" i="1" s="1"/>
  <c r="L69" i="1" s="1"/>
  <c r="L68" i="1"/>
  <c r="K68" i="1"/>
  <c r="J68" i="1"/>
  <c r="K67" i="1"/>
  <c r="L67" i="1" s="1"/>
  <c r="J67" i="1"/>
  <c r="J66" i="1"/>
  <c r="K66" i="1" s="1"/>
  <c r="L66" i="1" s="1"/>
  <c r="J65" i="1"/>
  <c r="K65" i="1" s="1"/>
  <c r="L65" i="1" s="1"/>
  <c r="L64" i="1"/>
  <c r="K64" i="1"/>
  <c r="J64" i="1"/>
  <c r="J63" i="1"/>
  <c r="K63" i="1" s="1"/>
  <c r="L63" i="1" s="1"/>
  <c r="J62" i="1"/>
  <c r="K62" i="1" s="1"/>
  <c r="L62" i="1" s="1"/>
  <c r="J61" i="1"/>
  <c r="K61" i="1" s="1"/>
  <c r="L61" i="1" s="1"/>
  <c r="K60" i="1"/>
  <c r="L60" i="1" s="1"/>
  <c r="J60" i="1"/>
  <c r="K59" i="1"/>
  <c r="L59" i="1" s="1"/>
  <c r="J59" i="1"/>
  <c r="J58" i="1"/>
  <c r="K58" i="1" s="1"/>
  <c r="L58" i="1" s="1"/>
  <c r="J57" i="1"/>
  <c r="K57" i="1" s="1"/>
  <c r="L57" i="1" s="1"/>
  <c r="L56" i="1"/>
  <c r="K56" i="1"/>
  <c r="J56" i="1"/>
  <c r="J55" i="1"/>
  <c r="K55" i="1" s="1"/>
  <c r="L55" i="1" s="1"/>
  <c r="J54" i="1"/>
  <c r="K54" i="1" s="1"/>
  <c r="L54" i="1" s="1"/>
  <c r="J53" i="1"/>
  <c r="K53" i="1" s="1"/>
  <c r="L53" i="1" s="1"/>
  <c r="K52" i="1"/>
  <c r="L52" i="1" s="1"/>
  <c r="J52" i="1"/>
  <c r="K51" i="1"/>
  <c r="L51" i="1" s="1"/>
  <c r="J51" i="1"/>
  <c r="J50" i="1"/>
  <c r="K50" i="1" s="1"/>
  <c r="L50" i="1" s="1"/>
  <c r="J49" i="1"/>
  <c r="K49" i="1" s="1"/>
  <c r="L49" i="1" s="1"/>
  <c r="K48" i="1"/>
  <c r="L48" i="1" s="1"/>
  <c r="J48" i="1"/>
  <c r="J47" i="1"/>
  <c r="K47" i="1" s="1"/>
  <c r="L47" i="1" s="1"/>
  <c r="J46" i="1"/>
  <c r="K46" i="1" s="1"/>
  <c r="L46" i="1" s="1"/>
  <c r="J45" i="1"/>
  <c r="K45" i="1" s="1"/>
  <c r="L45" i="1" s="1"/>
  <c r="K44" i="1"/>
  <c r="L44" i="1" s="1"/>
  <c r="J44" i="1"/>
  <c r="J43" i="1"/>
  <c r="K43" i="1" s="1"/>
  <c r="L43" i="1" s="1"/>
  <c r="J42" i="1"/>
  <c r="K42" i="1" s="1"/>
  <c r="L42" i="1" s="1"/>
  <c r="K41" i="1"/>
  <c r="L41" i="1" s="1"/>
  <c r="J41" i="1"/>
  <c r="K40" i="1"/>
  <c r="L40" i="1" s="1"/>
  <c r="J40" i="1"/>
  <c r="J39" i="1"/>
  <c r="K39" i="1" s="1"/>
  <c r="L39" i="1" s="1"/>
  <c r="J38" i="1"/>
  <c r="K38" i="1" s="1"/>
  <c r="L38" i="1" s="1"/>
  <c r="J37" i="1"/>
  <c r="K37" i="1" s="1"/>
  <c r="L37" i="1" s="1"/>
  <c r="L36" i="1"/>
  <c r="K36" i="1"/>
  <c r="J36" i="1"/>
  <c r="J35" i="1"/>
  <c r="K35" i="1" s="1"/>
  <c r="L35" i="1" s="1"/>
  <c r="J34" i="1"/>
  <c r="K34" i="1" s="1"/>
  <c r="L34" i="1" s="1"/>
  <c r="J33" i="1"/>
  <c r="K33" i="1" s="1"/>
  <c r="L33" i="1" s="1"/>
  <c r="K32" i="1"/>
  <c r="L32" i="1" s="1"/>
  <c r="J32" i="1"/>
  <c r="J31" i="1"/>
  <c r="K31" i="1" s="1"/>
  <c r="L31" i="1" s="1"/>
  <c r="J30" i="1"/>
  <c r="K30" i="1" s="1"/>
  <c r="L30" i="1" s="1"/>
  <c r="K29" i="1"/>
  <c r="L29" i="1" s="1"/>
  <c r="J29" i="1"/>
  <c r="K28" i="1"/>
  <c r="L28" i="1" s="1"/>
  <c r="J28" i="1"/>
  <c r="J27" i="1"/>
  <c r="K27" i="1" s="1"/>
  <c r="L27" i="1" s="1"/>
  <c r="J26" i="1"/>
  <c r="K26" i="1" s="1"/>
  <c r="L26" i="1" s="1"/>
  <c r="J25" i="1"/>
  <c r="K25" i="1" s="1"/>
  <c r="L25" i="1" s="1"/>
  <c r="L24" i="1"/>
  <c r="K24" i="1"/>
  <c r="J24" i="1"/>
  <c r="J23" i="1"/>
  <c r="K23" i="1" s="1"/>
  <c r="L23" i="1" s="1"/>
  <c r="J22" i="1"/>
  <c r="K22" i="1" s="1"/>
  <c r="L22" i="1" s="1"/>
  <c r="J21" i="1"/>
  <c r="K21" i="1" s="1"/>
  <c r="L21" i="1" s="1"/>
  <c r="K20" i="1"/>
  <c r="L20" i="1" s="1"/>
  <c r="J20" i="1"/>
  <c r="J19" i="1"/>
  <c r="K19" i="1" s="1"/>
  <c r="L19" i="1" s="1"/>
  <c r="J18" i="1"/>
  <c r="K18" i="1" s="1"/>
  <c r="L18" i="1" s="1"/>
  <c r="K17" i="1"/>
  <c r="L17" i="1" s="1"/>
  <c r="J17" i="1"/>
  <c r="K16" i="1"/>
  <c r="L16" i="1" s="1"/>
  <c r="J16" i="1"/>
  <c r="J15" i="1"/>
  <c r="K15" i="1" s="1"/>
  <c r="L15" i="1" s="1"/>
  <c r="J14" i="1"/>
  <c r="K14" i="1" s="1"/>
  <c r="L14" i="1" s="1"/>
  <c r="J13" i="1"/>
  <c r="K13" i="1" s="1"/>
  <c r="L13" i="1" s="1"/>
  <c r="L12" i="1"/>
  <c r="K12" i="1"/>
  <c r="J12" i="1"/>
  <c r="J11" i="1"/>
  <c r="K11" i="1" s="1"/>
  <c r="L11" i="1" s="1"/>
  <c r="J10" i="1"/>
  <c r="K10" i="1" s="1"/>
  <c r="L10" i="1" s="1"/>
  <c r="J9" i="1"/>
  <c r="K9" i="1" s="1"/>
  <c r="L9" i="1" s="1"/>
  <c r="K8" i="1"/>
  <c r="L8" i="1" s="1"/>
  <c r="J8" i="1"/>
  <c r="J7" i="1"/>
  <c r="K7" i="1" s="1"/>
  <c r="L7" i="1" s="1"/>
  <c r="J6" i="1"/>
  <c r="K6" i="1" s="1"/>
  <c r="L6" i="1" s="1"/>
  <c r="K5" i="1"/>
  <c r="L5" i="1" s="1"/>
  <c r="J5" i="1"/>
  <c r="K4" i="1"/>
  <c r="L4" i="1" s="1"/>
  <c r="J4" i="1"/>
  <c r="J3" i="1"/>
  <c r="K3" i="1" s="1"/>
  <c r="L3" i="1" s="1"/>
  <c r="J2" i="1"/>
  <c r="K2" i="1" s="1"/>
  <c r="L2" i="1" s="1"/>
</calcChain>
</file>

<file path=xl/sharedStrings.xml><?xml version="1.0" encoding="utf-8"?>
<sst xmlns="http://schemas.openxmlformats.org/spreadsheetml/2006/main" count="2075" uniqueCount="647">
  <si>
    <t>CFN</t>
  </si>
  <si>
    <t>RPH Group - RPH 5</t>
  </si>
  <si>
    <t>RPH Group - RPH 7</t>
  </si>
  <si>
    <t>RPH Group - RPH 8</t>
  </si>
  <si>
    <t>Count of Material</t>
  </si>
  <si>
    <t>Sum of Total Amount $ (USD)</t>
  </si>
  <si>
    <t>Sum of Total Qty (BUOM)</t>
  </si>
  <si>
    <t>Sum of AWD Qty</t>
  </si>
  <si>
    <t>Sum of AWU Qty</t>
  </si>
  <si>
    <t>Weeks of Coverage CFN level</t>
  </si>
  <si>
    <t>QTY Considered excess</t>
  </si>
  <si>
    <t>Value Excess</t>
  </si>
  <si>
    <t>SCDA48</t>
  </si>
  <si>
    <t>VESSEL SEALING</t>
  </si>
  <si>
    <t>US CURVED JAW DISP</t>
  </si>
  <si>
    <t>VL2615DB</t>
  </si>
  <si>
    <t>ELECTROSURGERY FAMILY</t>
  </si>
  <si>
    <t>PENCILS STAINLESS EL</t>
  </si>
  <si>
    <t>SEP6000</t>
  </si>
  <si>
    <t>SMOKE EVACUATION</t>
  </si>
  <si>
    <t>SMOKE PENCILS</t>
  </si>
  <si>
    <t>GL-120</t>
  </si>
  <si>
    <t>CONVENTIONAL SUTURES</t>
  </si>
  <si>
    <t>BRAID SYNTHETIC ABSORB SUTURES</t>
  </si>
  <si>
    <t>POLYSORB</t>
  </si>
  <si>
    <t>E2505-10FR</t>
  </si>
  <si>
    <t>SUCTION COAG FOOTSW</t>
  </si>
  <si>
    <t>VL2610NSB</t>
  </si>
  <si>
    <t>PENCILS NSB STAINLES</t>
  </si>
  <si>
    <t>CL-22-MG</t>
  </si>
  <si>
    <t>HP0816E1</t>
  </si>
  <si>
    <t>HEMOSTATS</t>
  </si>
  <si>
    <t>VERISET</t>
  </si>
  <si>
    <t>CP-422</t>
  </si>
  <si>
    <t>NON ABS NON CV SUTURES</t>
  </si>
  <si>
    <t>SURGIPRO</t>
  </si>
  <si>
    <t>PP0611X3</t>
  </si>
  <si>
    <t>SYNTHETIC MESH</t>
  </si>
  <si>
    <t>CONV PARIETENE OI</t>
  </si>
  <si>
    <t>5230-100</t>
  </si>
  <si>
    <t>BIOLOGIC MESH</t>
  </si>
  <si>
    <t>PERMACOL LARGE</t>
  </si>
  <si>
    <t>08492</t>
  </si>
  <si>
    <t>HARDWARE - COT</t>
  </si>
  <si>
    <t>WEM ES GENERATORS</t>
  </si>
  <si>
    <t>E0510</t>
  </si>
  <si>
    <t>CORDS DISPOSABLE</t>
  </si>
  <si>
    <t>CP-434</t>
  </si>
  <si>
    <t>VLFT10FXGEN</t>
  </si>
  <si>
    <t>FT10 ES ONLY</t>
  </si>
  <si>
    <t>E6008B</t>
  </si>
  <si>
    <t>HW FOOTPEDALS</t>
  </si>
  <si>
    <t>VP-734-MX</t>
  </si>
  <si>
    <t>CV SUTURES</t>
  </si>
  <si>
    <t>SURGIPRO II CV</t>
  </si>
  <si>
    <t>VS-846</t>
  </si>
  <si>
    <t>SOFSILK CV</t>
  </si>
  <si>
    <t>VSMP15</t>
  </si>
  <si>
    <t>VALLEYLAB SM PENCILS</t>
  </si>
  <si>
    <t>5284-150</t>
  </si>
  <si>
    <t>SN-663G</t>
  </si>
  <si>
    <t>MONOSOF</t>
  </si>
  <si>
    <t>VP-900-MX</t>
  </si>
  <si>
    <t>L-103</t>
  </si>
  <si>
    <t>VLFT10GENAH</t>
  </si>
  <si>
    <t>FT10 ANIMAL HEALTH</t>
  </si>
  <si>
    <t>SL-1613</t>
  </si>
  <si>
    <t>PPM1515X6</t>
  </si>
  <si>
    <t>PARIETENE MACRO OI</t>
  </si>
  <si>
    <t>PPM1510</t>
  </si>
  <si>
    <t>5120-150</t>
  </si>
  <si>
    <t>5120-100</t>
  </si>
  <si>
    <t>5250-150</t>
  </si>
  <si>
    <t>CL-974</t>
  </si>
  <si>
    <t>PCO1510X</t>
  </si>
  <si>
    <t>COMPOSITE PCOX</t>
  </si>
  <si>
    <t>L-36</t>
  </si>
  <si>
    <t>CM-779L</t>
  </si>
  <si>
    <t>MONO SYNTHETIC ABSORB SUTURES</t>
  </si>
  <si>
    <t>BIOSYN</t>
  </si>
  <si>
    <t>5556803800</t>
  </si>
  <si>
    <t>OPEN STAPLING</t>
  </si>
  <si>
    <t>SS STAPLERS APPOSE</t>
  </si>
  <si>
    <t>360188</t>
  </si>
  <si>
    <t>CORDS REUSABLE</t>
  </si>
  <si>
    <t>E2560R</t>
  </si>
  <si>
    <t>PENCILS REUSABLES</t>
  </si>
  <si>
    <t>VLOCM2245</t>
  </si>
  <si>
    <t>BARBED SUTURES</t>
  </si>
  <si>
    <t>V-LOC 90 DEVICE</t>
  </si>
  <si>
    <t>SP-684G</t>
  </si>
  <si>
    <t>5240-150</t>
  </si>
  <si>
    <t>VP726MX-2</t>
  </si>
  <si>
    <t>N-2718K</t>
  </si>
  <si>
    <t>PP1510</t>
  </si>
  <si>
    <t>88863093-51</t>
  </si>
  <si>
    <t>TI-CRON</t>
  </si>
  <si>
    <t>LPG1309AL</t>
  </si>
  <si>
    <t>CLT-9-MG</t>
  </si>
  <si>
    <t>8300057946</t>
  </si>
  <si>
    <t>GYN CAPITAL</t>
  </si>
  <si>
    <t>TC HYSTERSCOPE DUO</t>
  </si>
  <si>
    <t>TECT1510ADPL</t>
  </si>
  <si>
    <t>ANATOM PTX WO COL LI</t>
  </si>
  <si>
    <t>E0560</t>
  </si>
  <si>
    <t>72204752S</t>
  </si>
  <si>
    <t>TC HYSTERSCOPE 5C</t>
  </si>
  <si>
    <t>FORCEARGONII-8</t>
  </si>
  <si>
    <t>FORCE ARGON</t>
  </si>
  <si>
    <t>AED00172-33</t>
  </si>
  <si>
    <t>LUNG HEALTH</t>
  </si>
  <si>
    <t>LH SYSTEMS</t>
  </si>
  <si>
    <t>VSMP10NSB</t>
  </si>
  <si>
    <t>SL-1615</t>
  </si>
  <si>
    <t>PT00196023</t>
  </si>
  <si>
    <t>FT10</t>
  </si>
  <si>
    <t>5418-100</t>
  </si>
  <si>
    <t>PERMACOL MEDIUM</t>
  </si>
  <si>
    <t>VTX1106</t>
  </si>
  <si>
    <t>VERSATEX OI</t>
  </si>
  <si>
    <t>UL-212</t>
  </si>
  <si>
    <t>5152-150</t>
  </si>
  <si>
    <t>SP-665G</t>
  </si>
  <si>
    <t>5000-150</t>
  </si>
  <si>
    <t>PERMACOL SMALL</t>
  </si>
  <si>
    <t>SYM3420E</t>
  </si>
  <si>
    <t>SYMBOTEX LV</t>
  </si>
  <si>
    <t>VP557MX-2</t>
  </si>
  <si>
    <t>5115-100</t>
  </si>
  <si>
    <t>SP-5682G</t>
  </si>
  <si>
    <t>PP0611</t>
  </si>
  <si>
    <t>SL-5690</t>
  </si>
  <si>
    <t>5001-150</t>
  </si>
  <si>
    <t>VLOCM0324</t>
  </si>
  <si>
    <t>P-2790G</t>
  </si>
  <si>
    <t>N-2512</t>
  </si>
  <si>
    <t>CL-569</t>
  </si>
  <si>
    <t>88861913-72</t>
  </si>
  <si>
    <t>SURGILON</t>
  </si>
  <si>
    <t>06524</t>
  </si>
  <si>
    <t>WEM HARDWARE OTHERS</t>
  </si>
  <si>
    <t>E700151</t>
  </si>
  <si>
    <t>BIPOLAR FORCEPS</t>
  </si>
  <si>
    <t>E1455-6NSB</t>
  </si>
  <si>
    <t>ELECTR NSB EDGE</t>
  </si>
  <si>
    <t>PPM1515</t>
  </si>
  <si>
    <t>PCOPM15H50</t>
  </si>
  <si>
    <t>COMPOSITE PCO PM</t>
  </si>
  <si>
    <t>5110-150</t>
  </si>
  <si>
    <t>174601</t>
  </si>
  <si>
    <t>INSTRUMENTS</t>
  </si>
  <si>
    <t>MANIPULATION</t>
  </si>
  <si>
    <t>ENDO SHEARS</t>
  </si>
  <si>
    <t>8886622131</t>
  </si>
  <si>
    <t>MAXON CV</t>
  </si>
  <si>
    <t>88861902-71</t>
  </si>
  <si>
    <t>N-2714K</t>
  </si>
  <si>
    <t>E700292</t>
  </si>
  <si>
    <t>5210-100</t>
  </si>
  <si>
    <t>E0560E</t>
  </si>
  <si>
    <t>NB12STF</t>
  </si>
  <si>
    <t>ACCESS</t>
  </si>
  <si>
    <t>VERSAONE GROUP</t>
  </si>
  <si>
    <t>VERSAONE BLADELESS</t>
  </si>
  <si>
    <t>PP4030G</t>
  </si>
  <si>
    <t>PROGRIP POLYPRO OV</t>
  </si>
  <si>
    <t>8300057947</t>
  </si>
  <si>
    <t>VLOCN0325</t>
  </si>
  <si>
    <t>V-LOC PBT DEVICE</t>
  </si>
  <si>
    <t>SDNB2000</t>
  </si>
  <si>
    <t>LUNG HEALTH DISPOSABLES</t>
  </si>
  <si>
    <t>LH TOOLS</t>
  </si>
  <si>
    <t>TRIEEAXL21XT</t>
  </si>
  <si>
    <t>CS TS EEA</t>
  </si>
  <si>
    <t>PP1515C</t>
  </si>
  <si>
    <t>XX-3300</t>
  </si>
  <si>
    <t>SUTURE SPECIALS &amp; KITS</t>
  </si>
  <si>
    <t>SPECIALS</t>
  </si>
  <si>
    <t>E700192</t>
  </si>
  <si>
    <t>88863353-56</t>
  </si>
  <si>
    <t>TI-CRON CV</t>
  </si>
  <si>
    <t>SP-661</t>
  </si>
  <si>
    <t>E700184</t>
  </si>
  <si>
    <t>170073</t>
  </si>
  <si>
    <t>ENDOSTITCH</t>
  </si>
  <si>
    <t>ENDOSTITCH STD SULUS</t>
  </si>
  <si>
    <t>PCO2015X</t>
  </si>
  <si>
    <t>SL-675</t>
  </si>
  <si>
    <t>VL2615E</t>
  </si>
  <si>
    <t>CM-953</t>
  </si>
  <si>
    <t>L-2574K</t>
  </si>
  <si>
    <t>ILS-1000-TC</t>
  </si>
  <si>
    <t>LH OTHER</t>
  </si>
  <si>
    <t>SYM3420EF</t>
  </si>
  <si>
    <t>SYMBOTEX W/ STR LV</t>
  </si>
  <si>
    <t>L-1750K</t>
  </si>
  <si>
    <t>SL-654</t>
  </si>
  <si>
    <t>E700241</t>
  </si>
  <si>
    <t>8886676971</t>
  </si>
  <si>
    <t>MAXON</t>
  </si>
  <si>
    <t>FT900</t>
  </si>
  <si>
    <t>HW CARTS</t>
  </si>
  <si>
    <t>VTX1515MX3</t>
  </si>
  <si>
    <t>VERSATEX OV</t>
  </si>
  <si>
    <t>SD300LG</t>
  </si>
  <si>
    <t>LH EDGE KITS</t>
  </si>
  <si>
    <t>VLOCM0133</t>
  </si>
  <si>
    <t>88863084-56</t>
  </si>
  <si>
    <t>E700176</t>
  </si>
  <si>
    <t>VS-843</t>
  </si>
  <si>
    <t>CL-665-M</t>
  </si>
  <si>
    <t>VP-557MX</t>
  </si>
  <si>
    <t>VLOCL0813</t>
  </si>
  <si>
    <t>V-LOC 180 DEVICE</t>
  </si>
  <si>
    <t>88863213-66</t>
  </si>
  <si>
    <t>P-2756K</t>
  </si>
  <si>
    <t>RP2</t>
  </si>
  <si>
    <t>SDK4450-FT</t>
  </si>
  <si>
    <t>UC8015</t>
  </si>
  <si>
    <t>04718</t>
  </si>
  <si>
    <t>GMM-873L</t>
  </si>
  <si>
    <t>CL-536</t>
  </si>
  <si>
    <t>VLOCM0335</t>
  </si>
  <si>
    <t>L-5</t>
  </si>
  <si>
    <t>88862839-51</t>
  </si>
  <si>
    <t>VP581X-2</t>
  </si>
  <si>
    <t>VSR100812P</t>
  </si>
  <si>
    <t>LEGACY TROCAR GROUP</t>
  </si>
  <si>
    <t>VERSA-STEP INST NB</t>
  </si>
  <si>
    <t>TEC1515</t>
  </si>
  <si>
    <t>CONV PTX WO COL LI</t>
  </si>
  <si>
    <t>CP-423</t>
  </si>
  <si>
    <t>VP890X-2</t>
  </si>
  <si>
    <t>UL-102</t>
  </si>
  <si>
    <t>PP3020G</t>
  </si>
  <si>
    <t>FORCEEZ8CS</t>
  </si>
  <si>
    <t>FORCE EZ</t>
  </si>
  <si>
    <t>VLOCM0325</t>
  </si>
  <si>
    <t>VSMEN4</t>
  </si>
  <si>
    <t>VALLEYLAB SM ACC</t>
  </si>
  <si>
    <t>CL-14-MG</t>
  </si>
  <si>
    <t>E700240</t>
  </si>
  <si>
    <t>VP582X-2</t>
  </si>
  <si>
    <t>SV-496G</t>
  </si>
  <si>
    <t>VELOSORB</t>
  </si>
  <si>
    <t>8886612701</t>
  </si>
  <si>
    <t>PPM1510X3</t>
  </si>
  <si>
    <t>VP-744-MX</t>
  </si>
  <si>
    <t>PCO9X</t>
  </si>
  <si>
    <t>TECT1510ADP2R</t>
  </si>
  <si>
    <t>CL-85</t>
  </si>
  <si>
    <t>CL-42-MG</t>
  </si>
  <si>
    <t>TECR1515</t>
  </si>
  <si>
    <t>E700185</t>
  </si>
  <si>
    <t>E700206</t>
  </si>
  <si>
    <t>CL-977</t>
  </si>
  <si>
    <t>E700155</t>
  </si>
  <si>
    <t>SP-1643</t>
  </si>
  <si>
    <t>PPMK1508</t>
  </si>
  <si>
    <t>360186</t>
  </si>
  <si>
    <t>CL-948</t>
  </si>
  <si>
    <t>E700158</t>
  </si>
  <si>
    <t>SDGN447</t>
  </si>
  <si>
    <t>LH MARKERS</t>
  </si>
  <si>
    <t>E700180</t>
  </si>
  <si>
    <t>CV-9592</t>
  </si>
  <si>
    <t>88863090-61</t>
  </si>
  <si>
    <t>E700244</t>
  </si>
  <si>
    <t>CL-997-MG</t>
  </si>
  <si>
    <t>SN-568</t>
  </si>
  <si>
    <t>E700349</t>
  </si>
  <si>
    <t>VP-585-X</t>
  </si>
  <si>
    <t>E700191</t>
  </si>
  <si>
    <t>S-2782K</t>
  </si>
  <si>
    <t>NATURAL SUTURES</t>
  </si>
  <si>
    <t>SOFSILK</t>
  </si>
  <si>
    <t>E1450XNSB</t>
  </si>
  <si>
    <t>LL-226</t>
  </si>
  <si>
    <t>E700212</t>
  </si>
  <si>
    <t>TECT1510ADPR</t>
  </si>
  <si>
    <t>9122370701</t>
  </si>
  <si>
    <t>HARDWARE S&amp;R PI</t>
  </si>
  <si>
    <t>SL-630</t>
  </si>
  <si>
    <t>VCD-375</t>
  </si>
  <si>
    <t>CV-918</t>
  </si>
  <si>
    <t>AED00172-35</t>
  </si>
  <si>
    <t>CL-528</t>
  </si>
  <si>
    <t>E700246</t>
  </si>
  <si>
    <t>SP-665</t>
  </si>
  <si>
    <t>ABSTACK15X</t>
  </si>
  <si>
    <t>SOFT TISSUE MECHANIC</t>
  </si>
  <si>
    <t>STM KITS</t>
  </si>
  <si>
    <t>N-2734K</t>
  </si>
  <si>
    <t>SYM4024E</t>
  </si>
  <si>
    <t>PPL3030</t>
  </si>
  <si>
    <t>CONV PARIETENE OV</t>
  </si>
  <si>
    <t>CV-1673</t>
  </si>
  <si>
    <t>PPMK1508X6</t>
  </si>
  <si>
    <t>170013</t>
  </si>
  <si>
    <t>72204879</t>
  </si>
  <si>
    <t>TC HYSTERSCOPE EPLUS</t>
  </si>
  <si>
    <t>SV-9938G</t>
  </si>
  <si>
    <t>SV-2290</t>
  </si>
  <si>
    <t>88866757-71</t>
  </si>
  <si>
    <t>09922</t>
  </si>
  <si>
    <t>VP-331X</t>
  </si>
  <si>
    <t>UM-214</t>
  </si>
  <si>
    <t>CP-412</t>
  </si>
  <si>
    <t>E700171</t>
  </si>
  <si>
    <t>SYM4024EF</t>
  </si>
  <si>
    <t>SYM1710EF</t>
  </si>
  <si>
    <t>E3783R-28ASP</t>
  </si>
  <si>
    <t>LAP ELEC RETR OPTI4</t>
  </si>
  <si>
    <t>E1450G-NSB</t>
  </si>
  <si>
    <t>XX-5087</t>
  </si>
  <si>
    <t>VP-875-MX</t>
  </si>
  <si>
    <t>E700245</t>
  </si>
  <si>
    <t>SL-634</t>
  </si>
  <si>
    <t>88861962-52</t>
  </si>
  <si>
    <t>EGIA30AV</t>
  </si>
  <si>
    <t>ADVANCED STAPLING</t>
  </si>
  <si>
    <t>TS 10 30MM</t>
  </si>
  <si>
    <t>CL-533</t>
  </si>
  <si>
    <t>CP-16-M</t>
  </si>
  <si>
    <t>E1455-4NSB</t>
  </si>
  <si>
    <t>PPM1515X3</t>
  </si>
  <si>
    <t>SL-695</t>
  </si>
  <si>
    <t>88863147-89</t>
  </si>
  <si>
    <t>N-2717-K</t>
  </si>
  <si>
    <t>CL-005</t>
  </si>
  <si>
    <t>88863261-82</t>
  </si>
  <si>
    <t>CL-568</t>
  </si>
  <si>
    <t>VP-78-X</t>
  </si>
  <si>
    <t>E700204</t>
  </si>
  <si>
    <t>VP-713-MX</t>
  </si>
  <si>
    <t>TMP4008G</t>
  </si>
  <si>
    <t>PROPHYLAXIS</t>
  </si>
  <si>
    <t>8886614821</t>
  </si>
  <si>
    <t>E360130</t>
  </si>
  <si>
    <t>CV-8978</t>
  </si>
  <si>
    <t>CN-825-L</t>
  </si>
  <si>
    <t>SN-664G</t>
  </si>
  <si>
    <t>8886624541</t>
  </si>
  <si>
    <t>X-1252</t>
  </si>
  <si>
    <t>SCG7AA</t>
  </si>
  <si>
    <t>SONI HARDWARE</t>
  </si>
  <si>
    <t>S-1172</t>
  </si>
  <si>
    <t>VLOCM0123</t>
  </si>
  <si>
    <t>SL-653</t>
  </si>
  <si>
    <t>72205001</t>
  </si>
  <si>
    <t>HFM CONTROL UNIT</t>
  </si>
  <si>
    <t>8886674551</t>
  </si>
  <si>
    <t>SV-2238</t>
  </si>
  <si>
    <t>CL-940</t>
  </si>
  <si>
    <t>VLOCM3225</t>
  </si>
  <si>
    <t>SVP-2251</t>
  </si>
  <si>
    <t>GS-47-M</t>
  </si>
  <si>
    <t>88862420-09</t>
  </si>
  <si>
    <t>STEEL - MONO</t>
  </si>
  <si>
    <t>C100308</t>
  </si>
  <si>
    <t>NB15STF</t>
  </si>
  <si>
    <t>72205067</t>
  </si>
  <si>
    <t>VLOCM0623</t>
  </si>
  <si>
    <t>72203506</t>
  </si>
  <si>
    <t>GYN DISPOSABLES</t>
  </si>
  <si>
    <t>TC CALIBRATION</t>
  </si>
  <si>
    <t>SV-9928</t>
  </si>
  <si>
    <t>VS101015P</t>
  </si>
  <si>
    <t>UL-879</t>
  </si>
  <si>
    <t>N-2546</t>
  </si>
  <si>
    <t>E8002</t>
  </si>
  <si>
    <t>GL-68-M</t>
  </si>
  <si>
    <t>VP-523</t>
  </si>
  <si>
    <t>E700219</t>
  </si>
  <si>
    <t>S-1173</t>
  </si>
  <si>
    <t>VP556MX-2</t>
  </si>
  <si>
    <t>VLOCM0115</t>
  </si>
  <si>
    <t>LL-102</t>
  </si>
  <si>
    <t>SC-3634</t>
  </si>
  <si>
    <t>CAPROSYN</t>
  </si>
  <si>
    <t>VSMEN6</t>
  </si>
  <si>
    <t>L-2750K</t>
  </si>
  <si>
    <t>N-2544</t>
  </si>
  <si>
    <t>8886613431-2</t>
  </si>
  <si>
    <t>S-176</t>
  </si>
  <si>
    <t>AKI00100-01</t>
  </si>
  <si>
    <t>CL-15-MG</t>
  </si>
  <si>
    <t>VLOCM0635</t>
  </si>
  <si>
    <t>GC-323</t>
  </si>
  <si>
    <t>L-1669-K</t>
  </si>
  <si>
    <t>N-2760K</t>
  </si>
  <si>
    <t>CP-443</t>
  </si>
  <si>
    <t>88863258-42</t>
  </si>
  <si>
    <t>VL2610E</t>
  </si>
  <si>
    <t>VP-725-X</t>
  </si>
  <si>
    <t>PPM3030</t>
  </si>
  <si>
    <t>PARIETENE MACRO OV</t>
  </si>
  <si>
    <t>VP-937</t>
  </si>
  <si>
    <t>88863261-72</t>
  </si>
  <si>
    <t>TMP1008G</t>
  </si>
  <si>
    <t>E1551-6-NSB</t>
  </si>
  <si>
    <t>ELECTR NSB STAINLESS</t>
  </si>
  <si>
    <t>CL824L</t>
  </si>
  <si>
    <t>PPM1508</t>
  </si>
  <si>
    <t>VLOCL1904</t>
  </si>
  <si>
    <t>3975</t>
  </si>
  <si>
    <t>DST GIA INSTRUMENT</t>
  </si>
  <si>
    <t>VP-556MX</t>
  </si>
  <si>
    <t>CS-794</t>
  </si>
  <si>
    <t>X-1076</t>
  </si>
  <si>
    <t>S-1765K</t>
  </si>
  <si>
    <t>PPM2020C</t>
  </si>
  <si>
    <t>VP-559-X</t>
  </si>
  <si>
    <t>8886625761</t>
  </si>
  <si>
    <t>N-1603G</t>
  </si>
  <si>
    <t>TEC1309</t>
  </si>
  <si>
    <t>8886628561</t>
  </si>
  <si>
    <t>VP-812-X</t>
  </si>
  <si>
    <t>S-185</t>
  </si>
  <si>
    <t>E360139L</t>
  </si>
  <si>
    <t>SS-684G</t>
  </si>
  <si>
    <t>88863035-41</t>
  </si>
  <si>
    <t>VP-727-X</t>
  </si>
  <si>
    <t>CL-659-M</t>
  </si>
  <si>
    <t>178083</t>
  </si>
  <si>
    <t>SUCTION/IRRIGATION</t>
  </si>
  <si>
    <t>SURGIWAND</t>
  </si>
  <si>
    <t>VP701X-2</t>
  </si>
  <si>
    <t>CL-36-MG</t>
  </si>
  <si>
    <t>CM-811</t>
  </si>
  <si>
    <t>GS451-2</t>
  </si>
  <si>
    <t>CL-730</t>
  </si>
  <si>
    <t>04728</t>
  </si>
  <si>
    <t>88863256-31</t>
  </si>
  <si>
    <t>SV-4893</t>
  </si>
  <si>
    <t>PDBS2NT10SB</t>
  </si>
  <si>
    <t>5816-100</t>
  </si>
  <si>
    <t>SN-1647</t>
  </si>
  <si>
    <t>SP-1644</t>
  </si>
  <si>
    <t>PPM4530X3</t>
  </si>
  <si>
    <t>CP-454</t>
  </si>
  <si>
    <t>PPM1508X3</t>
  </si>
  <si>
    <t>VP-760-X</t>
  </si>
  <si>
    <t>SD300BA</t>
  </si>
  <si>
    <t>LH EDGE BA</t>
  </si>
  <si>
    <t>CL-602</t>
  </si>
  <si>
    <t>8886622933</t>
  </si>
  <si>
    <t>CM-922</t>
  </si>
  <si>
    <t>L-1562-K</t>
  </si>
  <si>
    <t>UL-216</t>
  </si>
  <si>
    <t>CC-196</t>
  </si>
  <si>
    <t>8886612711</t>
  </si>
  <si>
    <t>88863271-21</t>
  </si>
  <si>
    <t>VP-37MX</t>
  </si>
  <si>
    <t>S-1783K</t>
  </si>
  <si>
    <t>PPMK1508X3</t>
  </si>
  <si>
    <t>E2450HNSB</t>
  </si>
  <si>
    <t>PENCILS NSB EDGE ELE</t>
  </si>
  <si>
    <t>VP-584-X</t>
  </si>
  <si>
    <t>8886614721</t>
  </si>
  <si>
    <t>GL-182-M</t>
  </si>
  <si>
    <t>SC-5618-G</t>
  </si>
  <si>
    <t>E360131L</t>
  </si>
  <si>
    <t>TMP2008G</t>
  </si>
  <si>
    <t>VP889X-2</t>
  </si>
  <si>
    <t>VLOCM3326</t>
  </si>
  <si>
    <t>SN-5699G</t>
  </si>
  <si>
    <t>5220-100</t>
  </si>
  <si>
    <t>SL-690</t>
  </si>
  <si>
    <t>VP-209MX</t>
  </si>
  <si>
    <t>GMMT-540-MG</t>
  </si>
  <si>
    <t>N-2540</t>
  </si>
  <si>
    <t>TECR3030</t>
  </si>
  <si>
    <t>CONV PTX WO COL OV</t>
  </si>
  <si>
    <t>BOX00042V6</t>
  </si>
  <si>
    <t>CLT-952</t>
  </si>
  <si>
    <t>88863127-79</t>
  </si>
  <si>
    <t>KIT57649-</t>
  </si>
  <si>
    <t>8886620741-2</t>
  </si>
  <si>
    <t>VP-558-X</t>
  </si>
  <si>
    <t>SP-660</t>
  </si>
  <si>
    <t>CL-880</t>
  </si>
  <si>
    <t>SP-1696</t>
  </si>
  <si>
    <t>E1452NSB</t>
  </si>
  <si>
    <t>88863309-51</t>
  </si>
  <si>
    <t>SN-3695</t>
  </si>
  <si>
    <t>VS101505</t>
  </si>
  <si>
    <t>VP-205-X</t>
  </si>
  <si>
    <t>88866297-21</t>
  </si>
  <si>
    <t>VS101512P</t>
  </si>
  <si>
    <t>CC-924</t>
  </si>
  <si>
    <t>GS-64-M</t>
  </si>
  <si>
    <t>VP-753-MX</t>
  </si>
  <si>
    <t>88861902-61</t>
  </si>
  <si>
    <t>S-194</t>
  </si>
  <si>
    <t>VP-714-X</t>
  </si>
  <si>
    <t>UC8012</t>
  </si>
  <si>
    <t>E3781-28</t>
  </si>
  <si>
    <t>LAP ELEC HOLLW OPTI4</t>
  </si>
  <si>
    <t>CC-801</t>
  </si>
  <si>
    <t>VP-757-X</t>
  </si>
  <si>
    <t>VSMPA22</t>
  </si>
  <si>
    <t>88861899-41</t>
  </si>
  <si>
    <t>88861995-31</t>
  </si>
  <si>
    <t>E2515H-NSB</t>
  </si>
  <si>
    <t>88863092-71</t>
  </si>
  <si>
    <t>L-43</t>
  </si>
  <si>
    <t>170055</t>
  </si>
  <si>
    <t>CL-259</t>
  </si>
  <si>
    <t>E3774-45</t>
  </si>
  <si>
    <t>LAP ELEC SOLID OPTI2</t>
  </si>
  <si>
    <t>VP719X-2</t>
  </si>
  <si>
    <t>VLFT10FXKIT</t>
  </si>
  <si>
    <t>5000-50</t>
  </si>
  <si>
    <t>04777</t>
  </si>
  <si>
    <t>CL-356-MG</t>
  </si>
  <si>
    <t>88861928-72</t>
  </si>
  <si>
    <t>CL-603</t>
  </si>
  <si>
    <t>88863052-56</t>
  </si>
  <si>
    <t>UC-978</t>
  </si>
  <si>
    <t>VP-761-MX</t>
  </si>
  <si>
    <t>CS-17-M</t>
  </si>
  <si>
    <t>CLT-957</t>
  </si>
  <si>
    <t>SL-172</t>
  </si>
  <si>
    <t>E3773-45C</t>
  </si>
  <si>
    <t>GS46M-2</t>
  </si>
  <si>
    <t>CL-992</t>
  </si>
  <si>
    <t>PCO1510OSX</t>
  </si>
  <si>
    <t>PCOX-OS OV</t>
  </si>
  <si>
    <t>XX-5148</t>
  </si>
  <si>
    <t>VLOCM2126</t>
  </si>
  <si>
    <t>NBFCA12ST</t>
  </si>
  <si>
    <t>CS-562</t>
  </si>
  <si>
    <t>C101520</t>
  </si>
  <si>
    <t>88863139-21</t>
  </si>
  <si>
    <t>SV-9941G</t>
  </si>
  <si>
    <t>VP583X-2</t>
  </si>
  <si>
    <t>CV-2217</t>
  </si>
  <si>
    <t>88861969-62</t>
  </si>
  <si>
    <t>5001-100</t>
  </si>
  <si>
    <t>88863314-21</t>
  </si>
  <si>
    <t>88861917-61</t>
  </si>
  <si>
    <t>88863185-31</t>
  </si>
  <si>
    <t>5033-50</t>
  </si>
  <si>
    <t>SN-5694G</t>
  </si>
  <si>
    <t>CC-915</t>
  </si>
  <si>
    <t>VS-870</t>
  </si>
  <si>
    <t>SV-844G</t>
  </si>
  <si>
    <t>SL-722</t>
  </si>
  <si>
    <t>PP3030C</t>
  </si>
  <si>
    <t>CN-724</t>
  </si>
  <si>
    <t>VLOCN0347</t>
  </si>
  <si>
    <t>VLOCM0316</t>
  </si>
  <si>
    <t>GMM-343L</t>
  </si>
  <si>
    <t>VCD20305FE</t>
  </si>
  <si>
    <t>TEC1510</t>
  </si>
  <si>
    <t>L-104</t>
  </si>
  <si>
    <t>SS-5649G</t>
  </si>
  <si>
    <t>LL-115</t>
  </si>
  <si>
    <t>88863256-61</t>
  </si>
  <si>
    <t>368587</t>
  </si>
  <si>
    <t>HW ACC OTHER</t>
  </si>
  <si>
    <t>CATCH10</t>
  </si>
  <si>
    <t>SPECIMEN REMOVAL</t>
  </si>
  <si>
    <t>RELIACATCH</t>
  </si>
  <si>
    <t>AKI00133-01</t>
  </si>
  <si>
    <t>E2515H-DB-NSB</t>
  </si>
  <si>
    <t>PPL2020</t>
  </si>
  <si>
    <t>VLOCN0814</t>
  </si>
  <si>
    <t>E0507B</t>
  </si>
  <si>
    <t>PPM3030X3</t>
  </si>
  <si>
    <t>PPL1515C</t>
  </si>
  <si>
    <t>PT00015973</t>
  </si>
  <si>
    <t>TEC3030</t>
  </si>
  <si>
    <t>02</t>
  </si>
  <si>
    <t>BOX1021746CHOL0</t>
  </si>
  <si>
    <t>KITS</t>
  </si>
  <si>
    <t>CHOLECYSTECTOMY</t>
  </si>
  <si>
    <t>TECR1004D</t>
  </si>
  <si>
    <t>CONV PTX WO COL OI</t>
  </si>
  <si>
    <t>VLOCL0613</t>
  </si>
  <si>
    <t>E2516NSB</t>
  </si>
  <si>
    <t>VLOCN306L</t>
  </si>
  <si>
    <t>ESTITCH V-LOC SULU'S</t>
  </si>
  <si>
    <t>PN-39832</t>
  </si>
  <si>
    <t>NON-PRODUCT ES</t>
  </si>
  <si>
    <t>VLOCL0224</t>
  </si>
  <si>
    <t>E1567</t>
  </si>
  <si>
    <t>ELECTRODES LOOP TUNG</t>
  </si>
  <si>
    <t>SDK4190-FT</t>
  </si>
  <si>
    <t>E3504H</t>
  </si>
  <si>
    <t>VLFT10LSKIT</t>
  </si>
  <si>
    <t>7205548</t>
  </si>
  <si>
    <t>TC ACCESSORIES</t>
  </si>
  <si>
    <t>PCO3020OSX</t>
  </si>
  <si>
    <t>TAPPDXT1309AL</t>
  </si>
  <si>
    <t>5616-100</t>
  </si>
  <si>
    <t>11322372001</t>
  </si>
  <si>
    <t>SYM3020F</t>
  </si>
  <si>
    <t>170090</t>
  </si>
  <si>
    <t>UC8010</t>
  </si>
  <si>
    <t>PT00002167</t>
  </si>
  <si>
    <t>4347</t>
  </si>
  <si>
    <t>PMB00537-04</t>
  </si>
  <si>
    <t>1082771</t>
  </si>
  <si>
    <t>PPM2020</t>
  </si>
  <si>
    <t>VLOCM1413</t>
  </si>
  <si>
    <t>178093</t>
  </si>
  <si>
    <t>VLOCM0035</t>
  </si>
  <si>
    <t>1082772</t>
  </si>
  <si>
    <t>1082254</t>
  </si>
  <si>
    <t>VLOCM1423</t>
  </si>
  <si>
    <t>SD301BA</t>
  </si>
  <si>
    <t>SIGRIG</t>
  </si>
  <si>
    <t>SIGNIA ACCESSORY</t>
  </si>
  <si>
    <t>368687</t>
  </si>
  <si>
    <t>SYM4232F</t>
  </si>
  <si>
    <t>PT00015977</t>
  </si>
  <si>
    <t>7207900</t>
  </si>
  <si>
    <t>PT00015970</t>
  </si>
  <si>
    <t>PCOPM15H35</t>
  </si>
  <si>
    <t>NBFCA5ST</t>
  </si>
  <si>
    <t>E2515-NSB</t>
  </si>
  <si>
    <t>PCO20X</t>
  </si>
  <si>
    <t>PCO12</t>
  </si>
  <si>
    <t>COMPOSITE PCO</t>
  </si>
  <si>
    <t>RTAPPLV2</t>
  </si>
  <si>
    <t>ONBC4LAPPOLZ</t>
  </si>
  <si>
    <t>BOX09087V1</t>
  </si>
  <si>
    <t>1082770</t>
  </si>
  <si>
    <t>SD302BA</t>
  </si>
  <si>
    <t>TECR1510</t>
  </si>
  <si>
    <t>08952</t>
  </si>
  <si>
    <t>PNP6</t>
  </si>
  <si>
    <t>PLUG AND PATCH OI</t>
  </si>
  <si>
    <t>72204753</t>
  </si>
  <si>
    <t>FT950</t>
  </si>
  <si>
    <t>72203618</t>
  </si>
  <si>
    <t>GYN NON-PRODUCT MISC</t>
  </si>
  <si>
    <t>GYN OTHER</t>
  </si>
  <si>
    <t>Excess Stock FY26 Q4 — Summary by RPH Group (RPH 5)</t>
  </si>
  <si>
    <t>Total Value Excess (column L) aggregated per RPH Group  |  Sorted by Value Excess descending</t>
  </si>
  <si>
    <t>RPH Group (RPH 5)</t>
  </si>
  <si>
    <t>Value Excess ($)</t>
  </si>
  <si>
    <t>% of Total</t>
  </si>
  <si>
    <t># SKUs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</si>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</sst>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%"/>
  </numFmts>
  <fonts count="6" x14ac:knownFonts="1">
    <font>
      <sz val="11"/>
      <color theme="1"/>
      <name val="Aptos Narrow"/>
      <family val="2"/>
      <scheme val="minor"/>
    </font>
    <font>
      <b/>
      <sz val="13"/>
      <color rgb="FF1F4E79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1F4E79"/>
      <name val="Arial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right" vertical="center"/>
    </xf>
    <xf numFmtId="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0"/>
  <sheetViews>
    <sheetView workbookViewId="0">
      <selection activeCell="A2" sqref="A2"/>
    </sheetView>
  </sheetViews>
  <sheetFormatPr defaultRowHeight="14.5" x14ac:dyDescent="0.35"/>
  <cols>
    <col min="1" max="1" width="17.26953125" bestFit="1" customWidth="1"/>
    <col min="2" max="2" width="25.81640625" customWidth="1"/>
    <col min="3" max="3" width="22.453125" customWidth="1"/>
    <col min="4" max="4" width="22.81640625" customWidth="1"/>
    <col min="6" max="6" width="18.26953125" customWidth="1"/>
    <col min="7" max="7" width="20.453125" customWidth="1"/>
    <col min="8" max="8" width="16.453125" customWidth="1"/>
    <col min="9" max="9" width="13.54296875" customWidth="1"/>
    <col min="10" max="10" width="17" customWidth="1"/>
    <col min="11" max="11" width="15.54296875" customWidth="1"/>
    <col min="12" max="12" width="20.81640625" customWidth="1"/>
  </cols>
  <sheetData>
    <row r="1" spans="1:12" ht="30.7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14</v>
      </c>
      <c r="E2">
        <v>1</v>
      </c>
      <c r="F2">
        <v>1069973.1569999999</v>
      </c>
      <c r="G2">
        <v>7890</v>
      </c>
      <c r="H2">
        <v>8</v>
      </c>
      <c r="I2">
        <v>27.7</v>
      </c>
      <c r="J2">
        <f t="shared" ref="J2:J65" si="0">IFERROR(G2/MAX(I2,H2),"no usage/demand")</f>
        <v>284.8375451263538</v>
      </c>
      <c r="K2">
        <f t="shared" ref="K2:K65" si="1">IFERROR(IF(J2="no usage/demand",G2,IF(J2&gt;20,(J2-20)*MAX(H2,I2),0)),"Check")</f>
        <v>7336</v>
      </c>
      <c r="L2" s="1">
        <f t="shared" ref="L2:L65" si="2">IFERROR(F2/G2*K2,0)</f>
        <v>994844.49679999996</v>
      </c>
    </row>
    <row r="3" spans="1:12" x14ac:dyDescent="0.35">
      <c r="A3" t="s">
        <v>15</v>
      </c>
      <c r="B3" t="s">
        <v>16</v>
      </c>
      <c r="C3" t="s">
        <v>17</v>
      </c>
      <c r="D3" t="s">
        <v>17</v>
      </c>
      <c r="E3">
        <v>1</v>
      </c>
      <c r="F3">
        <v>272612</v>
      </c>
      <c r="G3">
        <v>161500</v>
      </c>
      <c r="H3">
        <v>763</v>
      </c>
      <c r="I3">
        <v>1184.5999999999999</v>
      </c>
      <c r="J3">
        <f t="shared" si="0"/>
        <v>136.33293938882323</v>
      </c>
      <c r="K3">
        <f t="shared" si="1"/>
        <v>137808</v>
      </c>
      <c r="L3" s="1">
        <f t="shared" si="2"/>
        <v>232619.90399999998</v>
      </c>
    </row>
    <row r="4" spans="1:12" x14ac:dyDescent="0.35">
      <c r="A4" t="s">
        <v>18</v>
      </c>
      <c r="B4" t="s">
        <v>19</v>
      </c>
      <c r="C4" t="s">
        <v>20</v>
      </c>
      <c r="D4" t="s">
        <v>20</v>
      </c>
      <c r="E4">
        <v>1</v>
      </c>
      <c r="F4">
        <v>1353327.15</v>
      </c>
      <c r="G4">
        <v>85300</v>
      </c>
      <c r="H4">
        <v>3958</v>
      </c>
      <c r="I4">
        <v>3689.2</v>
      </c>
      <c r="J4">
        <f t="shared" si="0"/>
        <v>21.551288529560384</v>
      </c>
      <c r="K4">
        <f t="shared" si="1"/>
        <v>6140.0000000000018</v>
      </c>
      <c r="L4" s="1">
        <f t="shared" si="2"/>
        <v>97414.170000000027</v>
      </c>
    </row>
    <row r="5" spans="1:12" x14ac:dyDescent="0.35">
      <c r="A5" t="s">
        <v>21</v>
      </c>
      <c r="B5" t="s">
        <v>22</v>
      </c>
      <c r="C5" t="s">
        <v>23</v>
      </c>
      <c r="D5" t="s">
        <v>24</v>
      </c>
      <c r="E5">
        <v>2</v>
      </c>
      <c r="F5">
        <v>85561.459100000007</v>
      </c>
      <c r="G5">
        <v>83952</v>
      </c>
      <c r="H5">
        <v>14</v>
      </c>
      <c r="I5">
        <v>33.200000000000003</v>
      </c>
      <c r="J5">
        <f t="shared" si="0"/>
        <v>2528.6746987951806</v>
      </c>
      <c r="K5">
        <f t="shared" si="1"/>
        <v>83288</v>
      </c>
      <c r="L5" s="1">
        <f t="shared" si="2"/>
        <v>84884.729434924724</v>
      </c>
    </row>
    <row r="6" spans="1:12" x14ac:dyDescent="0.35">
      <c r="A6" t="s">
        <v>25</v>
      </c>
      <c r="B6" t="s">
        <v>16</v>
      </c>
      <c r="C6" t="s">
        <v>26</v>
      </c>
      <c r="D6" t="s">
        <v>26</v>
      </c>
      <c r="E6">
        <v>1</v>
      </c>
      <c r="F6">
        <v>129299.4725</v>
      </c>
      <c r="G6">
        <v>20575</v>
      </c>
      <c r="H6">
        <v>357</v>
      </c>
      <c r="I6">
        <v>286.5</v>
      </c>
      <c r="J6">
        <f t="shared" si="0"/>
        <v>57.633053221288513</v>
      </c>
      <c r="K6">
        <f t="shared" si="1"/>
        <v>13435</v>
      </c>
      <c r="L6" s="1">
        <f t="shared" si="2"/>
        <v>84429.570500000002</v>
      </c>
    </row>
    <row r="7" spans="1:12" x14ac:dyDescent="0.35">
      <c r="A7" t="s">
        <v>27</v>
      </c>
      <c r="B7" t="s">
        <v>16</v>
      </c>
      <c r="C7" t="s">
        <v>28</v>
      </c>
      <c r="D7" t="s">
        <v>28</v>
      </c>
      <c r="E7">
        <v>1</v>
      </c>
      <c r="F7">
        <v>84673.35</v>
      </c>
      <c r="G7">
        <v>93150</v>
      </c>
      <c r="H7">
        <v>36</v>
      </c>
      <c r="I7">
        <v>61.5</v>
      </c>
      <c r="J7">
        <f t="shared" si="0"/>
        <v>1514.6341463414635</v>
      </c>
      <c r="K7">
        <f t="shared" si="1"/>
        <v>91920</v>
      </c>
      <c r="L7" s="1">
        <f t="shared" si="2"/>
        <v>83555.28</v>
      </c>
    </row>
    <row r="8" spans="1:12" x14ac:dyDescent="0.35">
      <c r="A8" t="s">
        <v>29</v>
      </c>
      <c r="B8" t="s">
        <v>22</v>
      </c>
      <c r="C8" t="s">
        <v>23</v>
      </c>
      <c r="D8" t="s">
        <v>24</v>
      </c>
      <c r="E8">
        <v>1</v>
      </c>
      <c r="F8">
        <v>76084.394400000005</v>
      </c>
      <c r="G8">
        <v>19908</v>
      </c>
      <c r="H8">
        <v>245</v>
      </c>
      <c r="I8">
        <v>34.200000000000003</v>
      </c>
      <c r="J8">
        <f t="shared" si="0"/>
        <v>81.257142857142853</v>
      </c>
      <c r="K8">
        <f t="shared" si="1"/>
        <v>15007.999999999998</v>
      </c>
      <c r="L8" s="1">
        <f t="shared" si="2"/>
        <v>57357.574399999998</v>
      </c>
    </row>
    <row r="9" spans="1:12" x14ac:dyDescent="0.35">
      <c r="A9" t="s">
        <v>30</v>
      </c>
      <c r="B9" t="s">
        <v>31</v>
      </c>
      <c r="C9" t="s">
        <v>32</v>
      </c>
      <c r="D9" t="s">
        <v>32</v>
      </c>
      <c r="E9">
        <v>1</v>
      </c>
      <c r="F9">
        <v>62039.907899999998</v>
      </c>
      <c r="G9">
        <v>159</v>
      </c>
      <c r="H9">
        <v>2</v>
      </c>
      <c r="I9">
        <v>2.2000000000000002</v>
      </c>
      <c r="J9">
        <f t="shared" si="0"/>
        <v>72.272727272727266</v>
      </c>
      <c r="K9">
        <f t="shared" si="1"/>
        <v>115</v>
      </c>
      <c r="L9" s="1">
        <f t="shared" si="2"/>
        <v>44871.631499999996</v>
      </c>
    </row>
    <row r="10" spans="1:12" x14ac:dyDescent="0.35">
      <c r="A10" t="s">
        <v>33</v>
      </c>
      <c r="B10" t="s">
        <v>22</v>
      </c>
      <c r="C10" t="s">
        <v>34</v>
      </c>
      <c r="D10" t="s">
        <v>35</v>
      </c>
      <c r="E10">
        <v>2</v>
      </c>
      <c r="F10">
        <v>42463.512000000002</v>
      </c>
      <c r="G10">
        <v>36792</v>
      </c>
      <c r="H10">
        <v>9</v>
      </c>
      <c r="I10">
        <v>5.5</v>
      </c>
      <c r="J10">
        <f t="shared" si="0"/>
        <v>4088</v>
      </c>
      <c r="K10">
        <f t="shared" si="1"/>
        <v>36612</v>
      </c>
      <c r="L10" s="1">
        <f t="shared" si="2"/>
        <v>42255.764876712332</v>
      </c>
    </row>
    <row r="11" spans="1:12" x14ac:dyDescent="0.35">
      <c r="A11" t="s">
        <v>36</v>
      </c>
      <c r="B11" t="s">
        <v>37</v>
      </c>
      <c r="C11" t="s">
        <v>38</v>
      </c>
      <c r="D11" t="s">
        <v>38</v>
      </c>
      <c r="E11">
        <v>2</v>
      </c>
      <c r="F11">
        <v>46223.395499999999</v>
      </c>
      <c r="G11">
        <v>8082</v>
      </c>
      <c r="H11">
        <v>22</v>
      </c>
      <c r="I11">
        <v>64.599999999999994</v>
      </c>
      <c r="J11">
        <f t="shared" si="0"/>
        <v>125.10835913312694</v>
      </c>
      <c r="K11">
        <f t="shared" si="1"/>
        <v>6790</v>
      </c>
      <c r="L11" s="1">
        <f t="shared" si="2"/>
        <v>38834.057837787674</v>
      </c>
    </row>
    <row r="12" spans="1:12" x14ac:dyDescent="0.35">
      <c r="A12" t="s">
        <v>39</v>
      </c>
      <c r="B12" t="s">
        <v>40</v>
      </c>
      <c r="C12" t="s">
        <v>41</v>
      </c>
      <c r="D12" t="s">
        <v>41</v>
      </c>
      <c r="E12">
        <v>1</v>
      </c>
      <c r="F12">
        <v>51175.3632</v>
      </c>
      <c r="G12">
        <v>78</v>
      </c>
      <c r="H12">
        <v>0</v>
      </c>
      <c r="I12">
        <v>1</v>
      </c>
      <c r="J12">
        <f t="shared" si="0"/>
        <v>78</v>
      </c>
      <c r="K12">
        <f t="shared" si="1"/>
        <v>58</v>
      </c>
      <c r="L12" s="1">
        <f t="shared" si="2"/>
        <v>38053.475200000001</v>
      </c>
    </row>
    <row r="13" spans="1:12" x14ac:dyDescent="0.35">
      <c r="A13" t="s">
        <v>42</v>
      </c>
      <c r="B13" t="s">
        <v>43</v>
      </c>
      <c r="C13" t="s">
        <v>44</v>
      </c>
      <c r="D13" t="s">
        <v>44</v>
      </c>
      <c r="E13">
        <v>1</v>
      </c>
      <c r="F13">
        <v>38051.042000000001</v>
      </c>
      <c r="G13">
        <v>67</v>
      </c>
      <c r="H13">
        <v>0</v>
      </c>
      <c r="I13">
        <v>0.3</v>
      </c>
      <c r="J13">
        <f t="shared" si="0"/>
        <v>223.33333333333334</v>
      </c>
      <c r="K13">
        <f t="shared" si="1"/>
        <v>61</v>
      </c>
      <c r="L13" s="1">
        <f t="shared" si="2"/>
        <v>34643.486000000004</v>
      </c>
    </row>
    <row r="14" spans="1:12" x14ac:dyDescent="0.35">
      <c r="A14" t="s">
        <v>45</v>
      </c>
      <c r="B14" t="s">
        <v>16</v>
      </c>
      <c r="C14" t="s">
        <v>46</v>
      </c>
      <c r="D14" t="s">
        <v>46</v>
      </c>
      <c r="E14">
        <v>1</v>
      </c>
      <c r="F14">
        <v>47438.44</v>
      </c>
      <c r="G14">
        <v>53200</v>
      </c>
      <c r="H14">
        <v>740</v>
      </c>
      <c r="I14">
        <v>192.3</v>
      </c>
      <c r="J14">
        <f t="shared" si="0"/>
        <v>71.891891891891888</v>
      </c>
      <c r="K14">
        <f t="shared" si="1"/>
        <v>38400</v>
      </c>
      <c r="L14" s="1">
        <f t="shared" si="2"/>
        <v>34241.279999999999</v>
      </c>
    </row>
    <row r="15" spans="1:12" x14ac:dyDescent="0.35">
      <c r="A15" t="s">
        <v>47</v>
      </c>
      <c r="B15" t="s">
        <v>22</v>
      </c>
      <c r="C15" t="s">
        <v>34</v>
      </c>
      <c r="D15" t="s">
        <v>35</v>
      </c>
      <c r="E15">
        <v>2</v>
      </c>
      <c r="F15">
        <v>62280.727200000001</v>
      </c>
      <c r="G15">
        <v>51948</v>
      </c>
      <c r="H15">
        <v>1242</v>
      </c>
      <c r="I15">
        <v>288</v>
      </c>
      <c r="J15">
        <f t="shared" si="0"/>
        <v>41.826086956521742</v>
      </c>
      <c r="K15">
        <f t="shared" si="1"/>
        <v>27108.000000000004</v>
      </c>
      <c r="L15" s="1">
        <f t="shared" si="2"/>
        <v>32499.922093970898</v>
      </c>
    </row>
    <row r="16" spans="1:12" x14ac:dyDescent="0.35">
      <c r="A16" t="s">
        <v>48</v>
      </c>
      <c r="B16" t="s">
        <v>43</v>
      </c>
      <c r="C16" t="s">
        <v>49</v>
      </c>
      <c r="D16" t="s">
        <v>49</v>
      </c>
      <c r="E16">
        <v>1</v>
      </c>
      <c r="F16">
        <v>55755.5026</v>
      </c>
      <c r="G16">
        <v>14</v>
      </c>
      <c r="H16">
        <v>0</v>
      </c>
      <c r="I16">
        <v>0.3</v>
      </c>
      <c r="J16">
        <f t="shared" si="0"/>
        <v>46.666666666666671</v>
      </c>
      <c r="K16">
        <f t="shared" si="1"/>
        <v>8.0000000000000018</v>
      </c>
      <c r="L16" s="1">
        <f t="shared" si="2"/>
        <v>31860.287200000006</v>
      </c>
    </row>
    <row r="17" spans="1:12" x14ac:dyDescent="0.35">
      <c r="A17" t="s">
        <v>50</v>
      </c>
      <c r="B17" t="s">
        <v>43</v>
      </c>
      <c r="C17" t="s">
        <v>51</v>
      </c>
      <c r="D17" t="s">
        <v>51</v>
      </c>
      <c r="E17">
        <v>1</v>
      </c>
      <c r="F17">
        <v>50461.264000000003</v>
      </c>
      <c r="G17">
        <v>304</v>
      </c>
      <c r="H17">
        <v>6</v>
      </c>
      <c r="I17">
        <v>1</v>
      </c>
      <c r="J17">
        <f t="shared" si="0"/>
        <v>50.666666666666664</v>
      </c>
      <c r="K17">
        <f t="shared" si="1"/>
        <v>184</v>
      </c>
      <c r="L17" s="1">
        <f t="shared" si="2"/>
        <v>30542.344000000001</v>
      </c>
    </row>
    <row r="18" spans="1:12" x14ac:dyDescent="0.35">
      <c r="A18" t="s">
        <v>52</v>
      </c>
      <c r="B18" t="s">
        <v>22</v>
      </c>
      <c r="C18" t="s">
        <v>53</v>
      </c>
      <c r="D18" t="s">
        <v>54</v>
      </c>
      <c r="E18">
        <v>1</v>
      </c>
      <c r="F18">
        <v>32140.130399999998</v>
      </c>
      <c r="G18">
        <v>1512</v>
      </c>
      <c r="H18">
        <v>0</v>
      </c>
      <c r="I18">
        <v>10.199999999999999</v>
      </c>
      <c r="J18">
        <f t="shared" si="0"/>
        <v>148.23529411764707</v>
      </c>
      <c r="K18">
        <f t="shared" si="1"/>
        <v>1308</v>
      </c>
      <c r="L18" s="1">
        <f t="shared" si="2"/>
        <v>27803.763599999998</v>
      </c>
    </row>
    <row r="19" spans="1:12" x14ac:dyDescent="0.35">
      <c r="A19" t="s">
        <v>55</v>
      </c>
      <c r="B19" t="s">
        <v>22</v>
      </c>
      <c r="C19" t="s">
        <v>53</v>
      </c>
      <c r="D19" t="s">
        <v>56</v>
      </c>
      <c r="E19">
        <v>2</v>
      </c>
      <c r="F19">
        <v>30082.7736</v>
      </c>
      <c r="G19">
        <v>39276</v>
      </c>
      <c r="H19">
        <v>136</v>
      </c>
      <c r="I19">
        <v>174.5</v>
      </c>
      <c r="J19">
        <f t="shared" si="0"/>
        <v>225.07736389684814</v>
      </c>
      <c r="K19">
        <f t="shared" si="1"/>
        <v>35786</v>
      </c>
      <c r="L19" s="1">
        <f t="shared" si="2"/>
        <v>27409.668399266728</v>
      </c>
    </row>
    <row r="20" spans="1:12" x14ac:dyDescent="0.35">
      <c r="A20" t="s">
        <v>57</v>
      </c>
      <c r="B20" t="s">
        <v>19</v>
      </c>
      <c r="C20" t="s">
        <v>58</v>
      </c>
      <c r="D20" t="s">
        <v>58</v>
      </c>
      <c r="E20">
        <v>1</v>
      </c>
      <c r="F20">
        <v>70229.457999999999</v>
      </c>
      <c r="G20">
        <v>7580</v>
      </c>
      <c r="H20">
        <v>235</v>
      </c>
      <c r="I20">
        <v>170.8</v>
      </c>
      <c r="J20">
        <f t="shared" si="0"/>
        <v>32.255319148936174</v>
      </c>
      <c r="K20">
        <f t="shared" si="1"/>
        <v>2880.0000000000009</v>
      </c>
      <c r="L20" s="1">
        <f t="shared" si="2"/>
        <v>26683.488000000008</v>
      </c>
    </row>
    <row r="21" spans="1:12" x14ac:dyDescent="0.35">
      <c r="A21" t="s">
        <v>59</v>
      </c>
      <c r="B21" t="s">
        <v>40</v>
      </c>
      <c r="C21" t="s">
        <v>41</v>
      </c>
      <c r="D21" t="s">
        <v>41</v>
      </c>
      <c r="E21">
        <v>2</v>
      </c>
      <c r="F21">
        <v>56300.854599999999</v>
      </c>
      <c r="G21">
        <v>38</v>
      </c>
      <c r="H21">
        <v>1</v>
      </c>
      <c r="I21">
        <v>0.2</v>
      </c>
      <c r="J21">
        <f t="shared" si="0"/>
        <v>38</v>
      </c>
      <c r="K21">
        <f t="shared" si="1"/>
        <v>18</v>
      </c>
      <c r="L21" s="1">
        <f t="shared" si="2"/>
        <v>26668.825863157894</v>
      </c>
    </row>
    <row r="22" spans="1:12" x14ac:dyDescent="0.35">
      <c r="A22" t="s">
        <v>60</v>
      </c>
      <c r="B22" t="s">
        <v>22</v>
      </c>
      <c r="C22" t="s">
        <v>34</v>
      </c>
      <c r="D22" t="s">
        <v>61</v>
      </c>
      <c r="E22">
        <v>2</v>
      </c>
      <c r="F22">
        <v>27995.7408</v>
      </c>
      <c r="G22">
        <v>49764</v>
      </c>
      <c r="H22">
        <v>135</v>
      </c>
      <c r="I22">
        <v>108</v>
      </c>
      <c r="J22">
        <f t="shared" si="0"/>
        <v>368.62222222222221</v>
      </c>
      <c r="K22">
        <f t="shared" si="1"/>
        <v>47064</v>
      </c>
      <c r="L22" s="1">
        <f t="shared" si="2"/>
        <v>26476.801402845427</v>
      </c>
    </row>
    <row r="23" spans="1:12" x14ac:dyDescent="0.35">
      <c r="A23" t="s">
        <v>62</v>
      </c>
      <c r="B23" t="s">
        <v>22</v>
      </c>
      <c r="C23" t="s">
        <v>53</v>
      </c>
      <c r="D23" t="s">
        <v>54</v>
      </c>
      <c r="E23">
        <v>1</v>
      </c>
      <c r="F23">
        <v>29754.482400000001</v>
      </c>
      <c r="G23">
        <v>2664</v>
      </c>
      <c r="H23">
        <v>20</v>
      </c>
      <c r="I23">
        <v>15.7</v>
      </c>
      <c r="J23">
        <f t="shared" si="0"/>
        <v>133.19999999999999</v>
      </c>
      <c r="K23">
        <f t="shared" si="1"/>
        <v>2264</v>
      </c>
      <c r="L23" s="1">
        <f t="shared" si="2"/>
        <v>25286.842400000001</v>
      </c>
    </row>
    <row r="24" spans="1:12" x14ac:dyDescent="0.35">
      <c r="A24" t="s">
        <v>63</v>
      </c>
      <c r="B24" t="s">
        <v>22</v>
      </c>
      <c r="C24" t="s">
        <v>23</v>
      </c>
      <c r="D24" t="s">
        <v>24</v>
      </c>
      <c r="E24">
        <v>1</v>
      </c>
      <c r="F24">
        <v>24631.297200000001</v>
      </c>
      <c r="G24">
        <v>19476</v>
      </c>
      <c r="H24">
        <v>0</v>
      </c>
      <c r="I24">
        <v>0</v>
      </c>
      <c r="J24" t="str">
        <f t="shared" si="0"/>
        <v>no usage/demand</v>
      </c>
      <c r="K24">
        <f t="shared" si="1"/>
        <v>19476</v>
      </c>
      <c r="L24" s="1">
        <f t="shared" si="2"/>
        <v>24631.297199999997</v>
      </c>
    </row>
    <row r="25" spans="1:12" x14ac:dyDescent="0.35">
      <c r="A25" t="s">
        <v>64</v>
      </c>
      <c r="B25" t="s">
        <v>43</v>
      </c>
      <c r="C25" t="s">
        <v>65</v>
      </c>
      <c r="D25" t="s">
        <v>65</v>
      </c>
      <c r="E25">
        <v>1</v>
      </c>
      <c r="F25">
        <v>24517.233</v>
      </c>
      <c r="G25">
        <v>6</v>
      </c>
      <c r="H25">
        <v>0</v>
      </c>
      <c r="I25">
        <v>0</v>
      </c>
      <c r="J25" t="str">
        <f t="shared" si="0"/>
        <v>no usage/demand</v>
      </c>
      <c r="K25">
        <f t="shared" si="1"/>
        <v>6</v>
      </c>
      <c r="L25" s="1">
        <f t="shared" si="2"/>
        <v>24517.233</v>
      </c>
    </row>
    <row r="26" spans="1:12" x14ac:dyDescent="0.35">
      <c r="A26" t="s">
        <v>66</v>
      </c>
      <c r="B26" t="s">
        <v>22</v>
      </c>
      <c r="C26" t="s">
        <v>23</v>
      </c>
      <c r="D26" t="s">
        <v>24</v>
      </c>
      <c r="E26">
        <v>1</v>
      </c>
      <c r="F26">
        <v>24279.6096</v>
      </c>
      <c r="G26">
        <v>13248</v>
      </c>
      <c r="H26">
        <v>9</v>
      </c>
      <c r="I26">
        <v>5.5</v>
      </c>
      <c r="J26">
        <f t="shared" si="0"/>
        <v>1472</v>
      </c>
      <c r="K26">
        <f t="shared" si="1"/>
        <v>13068</v>
      </c>
      <c r="L26" s="1">
        <f t="shared" si="2"/>
        <v>23949.723600000001</v>
      </c>
    </row>
    <row r="27" spans="1:12" x14ac:dyDescent="0.35">
      <c r="A27" t="s">
        <v>67</v>
      </c>
      <c r="B27" t="s">
        <v>37</v>
      </c>
      <c r="C27" t="s">
        <v>68</v>
      </c>
      <c r="D27" t="s">
        <v>68</v>
      </c>
      <c r="E27">
        <v>1</v>
      </c>
      <c r="F27">
        <v>42058.126799999998</v>
      </c>
      <c r="G27">
        <v>10134</v>
      </c>
      <c r="H27">
        <v>101</v>
      </c>
      <c r="I27">
        <v>244.2</v>
      </c>
      <c r="J27">
        <f t="shared" si="0"/>
        <v>41.498771498771504</v>
      </c>
      <c r="K27">
        <f t="shared" si="1"/>
        <v>5250.0000000000009</v>
      </c>
      <c r="L27" s="1">
        <f t="shared" si="2"/>
        <v>21788.550000000003</v>
      </c>
    </row>
    <row r="28" spans="1:12" x14ac:dyDescent="0.35">
      <c r="A28" t="s">
        <v>69</v>
      </c>
      <c r="B28" t="s">
        <v>37</v>
      </c>
      <c r="C28" t="s">
        <v>68</v>
      </c>
      <c r="D28" t="s">
        <v>68</v>
      </c>
      <c r="E28">
        <v>1</v>
      </c>
      <c r="F28">
        <v>21113.241000000002</v>
      </c>
      <c r="G28">
        <v>4567</v>
      </c>
      <c r="H28">
        <v>0</v>
      </c>
      <c r="I28">
        <v>0</v>
      </c>
      <c r="J28" t="str">
        <f t="shared" si="0"/>
        <v>no usage/demand</v>
      </c>
      <c r="K28">
        <f t="shared" si="1"/>
        <v>4567</v>
      </c>
      <c r="L28" s="1">
        <f t="shared" si="2"/>
        <v>21113.241000000002</v>
      </c>
    </row>
    <row r="29" spans="1:12" x14ac:dyDescent="0.35">
      <c r="A29" t="s">
        <v>70</v>
      </c>
      <c r="B29" t="s">
        <v>40</v>
      </c>
      <c r="C29" t="s">
        <v>41</v>
      </c>
      <c r="D29" t="s">
        <v>41</v>
      </c>
      <c r="E29">
        <v>1</v>
      </c>
      <c r="F29">
        <v>22464.379700000001</v>
      </c>
      <c r="G29">
        <v>41</v>
      </c>
      <c r="H29">
        <v>0</v>
      </c>
      <c r="I29">
        <v>0.2</v>
      </c>
      <c r="J29">
        <f t="shared" si="0"/>
        <v>205</v>
      </c>
      <c r="K29">
        <f t="shared" si="1"/>
        <v>37</v>
      </c>
      <c r="L29" s="1">
        <f t="shared" si="2"/>
        <v>20272.732899999999</v>
      </c>
    </row>
    <row r="30" spans="1:12" x14ac:dyDescent="0.35">
      <c r="A30" t="s">
        <v>71</v>
      </c>
      <c r="B30" t="s">
        <v>40</v>
      </c>
      <c r="C30" t="s">
        <v>41</v>
      </c>
      <c r="D30" t="s">
        <v>41</v>
      </c>
      <c r="E30">
        <v>2</v>
      </c>
      <c r="F30">
        <v>31145.6227</v>
      </c>
      <c r="G30">
        <v>56</v>
      </c>
      <c r="H30">
        <v>1</v>
      </c>
      <c r="I30">
        <v>0.4</v>
      </c>
      <c r="J30">
        <f t="shared" si="0"/>
        <v>56</v>
      </c>
      <c r="K30">
        <f t="shared" si="1"/>
        <v>36</v>
      </c>
      <c r="L30" s="1">
        <f t="shared" si="2"/>
        <v>20022.186021428573</v>
      </c>
    </row>
    <row r="31" spans="1:12" x14ac:dyDescent="0.35">
      <c r="A31" t="s">
        <v>72</v>
      </c>
      <c r="B31" t="s">
        <v>40</v>
      </c>
      <c r="C31" t="s">
        <v>41</v>
      </c>
      <c r="D31" t="s">
        <v>41</v>
      </c>
      <c r="E31">
        <v>2</v>
      </c>
      <c r="F31">
        <v>19414.734100000001</v>
      </c>
      <c r="G31">
        <v>12</v>
      </c>
      <c r="H31">
        <v>0</v>
      </c>
      <c r="I31">
        <v>0</v>
      </c>
      <c r="J31" t="str">
        <f t="shared" si="0"/>
        <v>no usage/demand</v>
      </c>
      <c r="K31">
        <f t="shared" si="1"/>
        <v>12</v>
      </c>
      <c r="L31" s="1">
        <f t="shared" si="2"/>
        <v>19414.734100000001</v>
      </c>
    </row>
    <row r="32" spans="1:12" x14ac:dyDescent="0.35">
      <c r="A32" t="s">
        <v>73</v>
      </c>
      <c r="B32" t="s">
        <v>22</v>
      </c>
      <c r="C32" t="s">
        <v>23</v>
      </c>
      <c r="D32" t="s">
        <v>24</v>
      </c>
      <c r="E32">
        <v>2</v>
      </c>
      <c r="F32">
        <v>19148.903999999999</v>
      </c>
      <c r="G32">
        <v>15300</v>
      </c>
      <c r="H32">
        <v>9</v>
      </c>
      <c r="I32">
        <v>2.8</v>
      </c>
      <c r="J32">
        <f t="shared" si="0"/>
        <v>1700</v>
      </c>
      <c r="K32">
        <f t="shared" si="1"/>
        <v>15120</v>
      </c>
      <c r="L32" s="1">
        <f t="shared" si="2"/>
        <v>18923.622776470587</v>
      </c>
    </row>
    <row r="33" spans="1:12" x14ac:dyDescent="0.35">
      <c r="A33" t="s">
        <v>74</v>
      </c>
      <c r="B33" t="s">
        <v>37</v>
      </c>
      <c r="C33" t="s">
        <v>75</v>
      </c>
      <c r="D33" t="s">
        <v>75</v>
      </c>
      <c r="E33">
        <v>1</v>
      </c>
      <c r="F33">
        <v>34901.0046</v>
      </c>
      <c r="G33">
        <v>1134</v>
      </c>
      <c r="H33">
        <v>10</v>
      </c>
      <c r="I33">
        <v>26.5</v>
      </c>
      <c r="J33">
        <f t="shared" si="0"/>
        <v>42.79245283018868</v>
      </c>
      <c r="K33">
        <f t="shared" si="1"/>
        <v>604</v>
      </c>
      <c r="L33" s="1">
        <f t="shared" si="2"/>
        <v>18589.247600000002</v>
      </c>
    </row>
    <row r="34" spans="1:12" x14ac:dyDescent="0.35">
      <c r="A34" t="s">
        <v>76</v>
      </c>
      <c r="B34" t="s">
        <v>22</v>
      </c>
      <c r="C34" t="s">
        <v>23</v>
      </c>
      <c r="D34" t="s">
        <v>24</v>
      </c>
      <c r="E34">
        <v>1</v>
      </c>
      <c r="F34">
        <v>20282.184000000001</v>
      </c>
      <c r="G34">
        <v>2808</v>
      </c>
      <c r="H34">
        <v>10</v>
      </c>
      <c r="I34">
        <v>16.600000000000001</v>
      </c>
      <c r="J34">
        <f t="shared" si="0"/>
        <v>169.15662650602408</v>
      </c>
      <c r="K34">
        <f t="shared" si="1"/>
        <v>2476</v>
      </c>
      <c r="L34" s="1">
        <f t="shared" si="2"/>
        <v>17884.148000000001</v>
      </c>
    </row>
    <row r="35" spans="1:12" x14ac:dyDescent="0.35">
      <c r="A35" t="s">
        <v>39</v>
      </c>
      <c r="B35" t="s">
        <v>40</v>
      </c>
      <c r="C35" t="s">
        <v>41</v>
      </c>
      <c r="D35" t="s">
        <v>41</v>
      </c>
      <c r="E35">
        <v>1</v>
      </c>
      <c r="F35">
        <v>30970.001400000001</v>
      </c>
      <c r="G35">
        <v>47</v>
      </c>
      <c r="H35">
        <v>1</v>
      </c>
      <c r="I35">
        <v>0.2</v>
      </c>
      <c r="J35">
        <f t="shared" si="0"/>
        <v>47</v>
      </c>
      <c r="K35">
        <f t="shared" si="1"/>
        <v>27</v>
      </c>
      <c r="L35" s="1">
        <f t="shared" si="2"/>
        <v>17791.277399999999</v>
      </c>
    </row>
    <row r="36" spans="1:12" x14ac:dyDescent="0.35">
      <c r="A36" t="s">
        <v>77</v>
      </c>
      <c r="B36" t="s">
        <v>22</v>
      </c>
      <c r="C36" t="s">
        <v>78</v>
      </c>
      <c r="D36" t="s">
        <v>79</v>
      </c>
      <c r="E36">
        <v>1</v>
      </c>
      <c r="F36">
        <v>17731.29</v>
      </c>
      <c r="G36">
        <v>4980</v>
      </c>
      <c r="H36">
        <v>2</v>
      </c>
      <c r="I36">
        <v>1.8</v>
      </c>
      <c r="J36">
        <f t="shared" si="0"/>
        <v>2490</v>
      </c>
      <c r="K36">
        <f t="shared" si="1"/>
        <v>4940</v>
      </c>
      <c r="L36" s="1">
        <f t="shared" si="2"/>
        <v>17588.870000000003</v>
      </c>
    </row>
    <row r="37" spans="1:12" x14ac:dyDescent="0.35">
      <c r="A37" t="s">
        <v>80</v>
      </c>
      <c r="B37" t="s">
        <v>81</v>
      </c>
      <c r="C37" t="s">
        <v>82</v>
      </c>
      <c r="D37" t="s">
        <v>82</v>
      </c>
      <c r="E37">
        <v>1</v>
      </c>
      <c r="F37">
        <v>17452.2</v>
      </c>
      <c r="G37">
        <v>6800</v>
      </c>
      <c r="H37">
        <v>0</v>
      </c>
      <c r="I37">
        <v>0</v>
      </c>
      <c r="J37" t="str">
        <f t="shared" si="0"/>
        <v>no usage/demand</v>
      </c>
      <c r="K37">
        <f t="shared" si="1"/>
        <v>6800</v>
      </c>
      <c r="L37" s="1">
        <f t="shared" si="2"/>
        <v>17452.2</v>
      </c>
    </row>
    <row r="38" spans="1:12" x14ac:dyDescent="0.35">
      <c r="A38" t="s">
        <v>83</v>
      </c>
      <c r="B38" t="s">
        <v>16</v>
      </c>
      <c r="C38" t="s">
        <v>84</v>
      </c>
      <c r="D38" t="s">
        <v>84</v>
      </c>
      <c r="E38">
        <v>1</v>
      </c>
      <c r="F38">
        <v>18493.439999999999</v>
      </c>
      <c r="G38">
        <v>512</v>
      </c>
      <c r="H38">
        <v>1</v>
      </c>
      <c r="I38">
        <v>1.5</v>
      </c>
      <c r="J38">
        <f t="shared" si="0"/>
        <v>341.33333333333331</v>
      </c>
      <c r="K38">
        <f t="shared" si="1"/>
        <v>482</v>
      </c>
      <c r="L38" s="1">
        <f t="shared" si="2"/>
        <v>17409.84</v>
      </c>
    </row>
    <row r="39" spans="1:12" x14ac:dyDescent="0.35">
      <c r="A39" t="s">
        <v>85</v>
      </c>
      <c r="B39" t="s">
        <v>16</v>
      </c>
      <c r="C39" t="s">
        <v>86</v>
      </c>
      <c r="D39" t="s">
        <v>86</v>
      </c>
      <c r="E39">
        <v>1</v>
      </c>
      <c r="F39">
        <v>19513.988000000001</v>
      </c>
      <c r="G39">
        <v>520</v>
      </c>
      <c r="H39">
        <v>3</v>
      </c>
      <c r="I39">
        <v>0</v>
      </c>
      <c r="J39">
        <f t="shared" si="0"/>
        <v>173.33333333333334</v>
      </c>
      <c r="K39">
        <f t="shared" si="1"/>
        <v>460</v>
      </c>
      <c r="L39" s="1">
        <f t="shared" si="2"/>
        <v>17262.374000000003</v>
      </c>
    </row>
    <row r="40" spans="1:12" x14ac:dyDescent="0.35">
      <c r="A40" t="s">
        <v>87</v>
      </c>
      <c r="B40" t="s">
        <v>88</v>
      </c>
      <c r="C40" t="s">
        <v>89</v>
      </c>
      <c r="D40" t="s">
        <v>89</v>
      </c>
      <c r="E40">
        <v>1</v>
      </c>
      <c r="F40">
        <v>23045.378400000001</v>
      </c>
      <c r="G40">
        <v>2952</v>
      </c>
      <c r="H40">
        <v>41</v>
      </c>
      <c r="I40">
        <v>36</v>
      </c>
      <c r="J40">
        <f t="shared" si="0"/>
        <v>72</v>
      </c>
      <c r="K40">
        <f t="shared" si="1"/>
        <v>2132</v>
      </c>
      <c r="L40" s="1">
        <f t="shared" si="2"/>
        <v>16643.884399999999</v>
      </c>
    </row>
    <row r="41" spans="1:12" x14ac:dyDescent="0.35">
      <c r="A41" t="s">
        <v>90</v>
      </c>
      <c r="B41" t="s">
        <v>22</v>
      </c>
      <c r="C41" t="s">
        <v>34</v>
      </c>
      <c r="D41" t="s">
        <v>35</v>
      </c>
      <c r="E41">
        <v>2</v>
      </c>
      <c r="F41">
        <v>17646.892800000001</v>
      </c>
      <c r="G41">
        <v>15888</v>
      </c>
      <c r="H41">
        <v>47</v>
      </c>
      <c r="I41">
        <v>41.5</v>
      </c>
      <c r="J41">
        <f t="shared" si="0"/>
        <v>338.04255319148939</v>
      </c>
      <c r="K41">
        <f t="shared" si="1"/>
        <v>14948.000000000002</v>
      </c>
      <c r="L41" s="1">
        <f t="shared" si="2"/>
        <v>16602.829404229611</v>
      </c>
    </row>
    <row r="42" spans="1:12" x14ac:dyDescent="0.35">
      <c r="A42" t="s">
        <v>91</v>
      </c>
      <c r="B42" t="s">
        <v>40</v>
      </c>
      <c r="C42" t="s">
        <v>41</v>
      </c>
      <c r="D42" t="s">
        <v>41</v>
      </c>
      <c r="E42">
        <v>1</v>
      </c>
      <c r="F42">
        <v>49789.556700000001</v>
      </c>
      <c r="G42">
        <v>39</v>
      </c>
      <c r="H42">
        <v>1</v>
      </c>
      <c r="I42">
        <v>1.3</v>
      </c>
      <c r="J42">
        <f t="shared" si="0"/>
        <v>30</v>
      </c>
      <c r="K42">
        <f t="shared" si="1"/>
        <v>13</v>
      </c>
      <c r="L42" s="1">
        <f t="shared" si="2"/>
        <v>16596.518900000003</v>
      </c>
    </row>
    <row r="43" spans="1:12" x14ac:dyDescent="0.35">
      <c r="A43" t="s">
        <v>92</v>
      </c>
      <c r="B43" t="s">
        <v>22</v>
      </c>
      <c r="C43" t="s">
        <v>53</v>
      </c>
      <c r="D43" t="s">
        <v>54</v>
      </c>
      <c r="E43">
        <v>1</v>
      </c>
      <c r="F43">
        <v>16556.903999999999</v>
      </c>
      <c r="G43">
        <v>2280</v>
      </c>
      <c r="H43">
        <v>5</v>
      </c>
      <c r="I43">
        <v>0.9</v>
      </c>
      <c r="J43">
        <f t="shared" si="0"/>
        <v>456</v>
      </c>
      <c r="K43">
        <f t="shared" si="1"/>
        <v>2180</v>
      </c>
      <c r="L43" s="1">
        <f t="shared" si="2"/>
        <v>15830.723999999998</v>
      </c>
    </row>
    <row r="44" spans="1:12" x14ac:dyDescent="0.35">
      <c r="A44" t="s">
        <v>93</v>
      </c>
      <c r="B44" t="s">
        <v>22</v>
      </c>
      <c r="C44" t="s">
        <v>34</v>
      </c>
      <c r="D44" t="s">
        <v>61</v>
      </c>
      <c r="E44">
        <v>2</v>
      </c>
      <c r="F44">
        <v>26656.32</v>
      </c>
      <c r="G44">
        <v>2160</v>
      </c>
      <c r="H44">
        <v>38</v>
      </c>
      <c r="I44">
        <v>45.2</v>
      </c>
      <c r="J44">
        <f t="shared" si="0"/>
        <v>47.787610619469021</v>
      </c>
      <c r="K44">
        <f t="shared" si="1"/>
        <v>1255.9999999999998</v>
      </c>
      <c r="L44" s="1">
        <f t="shared" si="2"/>
        <v>15500.156444444443</v>
      </c>
    </row>
    <row r="45" spans="1:12" x14ac:dyDescent="0.35">
      <c r="A45" t="s">
        <v>94</v>
      </c>
      <c r="B45" t="s">
        <v>37</v>
      </c>
      <c r="C45" t="s">
        <v>38</v>
      </c>
      <c r="D45" t="s">
        <v>38</v>
      </c>
      <c r="E45">
        <v>2</v>
      </c>
      <c r="F45">
        <v>24591.179199999999</v>
      </c>
      <c r="G45">
        <v>2628</v>
      </c>
      <c r="H45">
        <v>26</v>
      </c>
      <c r="I45">
        <v>56.900000000000013</v>
      </c>
      <c r="J45">
        <f t="shared" si="0"/>
        <v>46.186291739894543</v>
      </c>
      <c r="K45">
        <f t="shared" si="1"/>
        <v>1489.9999999999998</v>
      </c>
      <c r="L45" s="1">
        <f t="shared" si="2"/>
        <v>13942.487445966512</v>
      </c>
    </row>
    <row r="46" spans="1:12" x14ac:dyDescent="0.35">
      <c r="A46" t="s">
        <v>95</v>
      </c>
      <c r="B46" t="s">
        <v>22</v>
      </c>
      <c r="C46" t="s">
        <v>34</v>
      </c>
      <c r="D46" t="s">
        <v>96</v>
      </c>
      <c r="E46">
        <v>2</v>
      </c>
      <c r="F46">
        <v>18509.018400000001</v>
      </c>
      <c r="G46">
        <v>28872</v>
      </c>
      <c r="H46">
        <v>360</v>
      </c>
      <c r="I46">
        <v>321.3</v>
      </c>
      <c r="J46">
        <f t="shared" si="0"/>
        <v>80.2</v>
      </c>
      <c r="K46">
        <f t="shared" si="1"/>
        <v>21672</v>
      </c>
      <c r="L46" s="1">
        <f t="shared" si="2"/>
        <v>13893.303088279303</v>
      </c>
    </row>
    <row r="47" spans="1:12" x14ac:dyDescent="0.35">
      <c r="A47" t="s">
        <v>97</v>
      </c>
      <c r="B47" t="s">
        <v>37</v>
      </c>
      <c r="C47" t="s">
        <v>38</v>
      </c>
      <c r="D47" t="s">
        <v>38</v>
      </c>
      <c r="E47">
        <v>1</v>
      </c>
      <c r="F47">
        <v>14573.0139</v>
      </c>
      <c r="G47">
        <v>557</v>
      </c>
      <c r="H47">
        <v>1</v>
      </c>
      <c r="I47">
        <v>1.3</v>
      </c>
      <c r="J47">
        <f t="shared" si="0"/>
        <v>428.46153846153845</v>
      </c>
      <c r="K47">
        <f t="shared" si="1"/>
        <v>531</v>
      </c>
      <c r="L47" s="1">
        <f t="shared" si="2"/>
        <v>13892.765495332136</v>
      </c>
    </row>
    <row r="48" spans="1:12" x14ac:dyDescent="0.35">
      <c r="A48" t="s">
        <v>59</v>
      </c>
      <c r="B48" t="s">
        <v>40</v>
      </c>
      <c r="C48" t="s">
        <v>41</v>
      </c>
      <c r="D48" t="s">
        <v>41</v>
      </c>
      <c r="E48">
        <v>1</v>
      </c>
      <c r="F48">
        <v>19355.826099999998</v>
      </c>
      <c r="G48">
        <v>13</v>
      </c>
      <c r="H48">
        <v>0</v>
      </c>
      <c r="I48">
        <v>0.2</v>
      </c>
      <c r="J48">
        <f t="shared" si="0"/>
        <v>65</v>
      </c>
      <c r="K48">
        <f t="shared" si="1"/>
        <v>9</v>
      </c>
      <c r="L48" s="1">
        <f t="shared" si="2"/>
        <v>13400.1873</v>
      </c>
    </row>
    <row r="49" spans="1:12" x14ac:dyDescent="0.35">
      <c r="A49" t="s">
        <v>98</v>
      </c>
      <c r="B49" t="s">
        <v>22</v>
      </c>
      <c r="C49" t="s">
        <v>23</v>
      </c>
      <c r="D49" t="s">
        <v>24</v>
      </c>
      <c r="E49">
        <v>1</v>
      </c>
      <c r="F49">
        <v>56420.784</v>
      </c>
      <c r="G49">
        <v>15060</v>
      </c>
      <c r="H49">
        <v>580</v>
      </c>
      <c r="I49">
        <v>103.4</v>
      </c>
      <c r="J49">
        <f t="shared" si="0"/>
        <v>25.96551724137931</v>
      </c>
      <c r="K49">
        <f t="shared" si="1"/>
        <v>3459.9999999999995</v>
      </c>
      <c r="L49" s="1">
        <f t="shared" si="2"/>
        <v>12962.543999999998</v>
      </c>
    </row>
    <row r="50" spans="1:12" x14ac:dyDescent="0.35">
      <c r="A50" t="s">
        <v>99</v>
      </c>
      <c r="B50" t="s">
        <v>100</v>
      </c>
      <c r="C50" t="s">
        <v>101</v>
      </c>
      <c r="D50" t="s">
        <v>101</v>
      </c>
      <c r="E50">
        <v>1</v>
      </c>
      <c r="F50">
        <v>5550.4566000000004</v>
      </c>
      <c r="G50">
        <v>23</v>
      </c>
      <c r="H50">
        <v>0</v>
      </c>
      <c r="I50">
        <v>0.8</v>
      </c>
      <c r="J50">
        <f t="shared" si="0"/>
        <v>28.75</v>
      </c>
      <c r="K50">
        <f t="shared" si="1"/>
        <v>7</v>
      </c>
      <c r="L50" s="1">
        <f t="shared" si="2"/>
        <v>1689.2694000000001</v>
      </c>
    </row>
    <row r="51" spans="1:12" x14ac:dyDescent="0.35">
      <c r="A51" t="s">
        <v>102</v>
      </c>
      <c r="B51" t="s">
        <v>37</v>
      </c>
      <c r="C51" t="s">
        <v>103</v>
      </c>
      <c r="D51" t="s">
        <v>103</v>
      </c>
      <c r="E51">
        <v>1</v>
      </c>
      <c r="F51">
        <v>11749.3542</v>
      </c>
      <c r="G51">
        <v>381</v>
      </c>
      <c r="H51">
        <v>0</v>
      </c>
      <c r="I51">
        <v>0</v>
      </c>
      <c r="J51" t="str">
        <f t="shared" si="0"/>
        <v>no usage/demand</v>
      </c>
      <c r="K51">
        <f t="shared" si="1"/>
        <v>381</v>
      </c>
      <c r="L51" s="1">
        <f t="shared" si="2"/>
        <v>11749.3542</v>
      </c>
    </row>
    <row r="52" spans="1:12" x14ac:dyDescent="0.35">
      <c r="A52" t="s">
        <v>104</v>
      </c>
      <c r="B52" t="s">
        <v>16</v>
      </c>
      <c r="C52" t="s">
        <v>84</v>
      </c>
      <c r="D52" t="s">
        <v>84</v>
      </c>
      <c r="E52">
        <v>2</v>
      </c>
      <c r="F52">
        <v>28433.818599999999</v>
      </c>
      <c r="G52">
        <v>4288</v>
      </c>
      <c r="H52">
        <v>105</v>
      </c>
      <c r="I52">
        <v>129.5</v>
      </c>
      <c r="J52">
        <f t="shared" si="0"/>
        <v>33.11196911196911</v>
      </c>
      <c r="K52">
        <f t="shared" si="1"/>
        <v>1697.9999999999998</v>
      </c>
      <c r="L52" s="1">
        <f t="shared" si="2"/>
        <v>11259.47387658582</v>
      </c>
    </row>
    <row r="53" spans="1:12" x14ac:dyDescent="0.35">
      <c r="A53" t="s">
        <v>105</v>
      </c>
      <c r="B53" t="s">
        <v>100</v>
      </c>
      <c r="C53" t="s">
        <v>106</v>
      </c>
      <c r="D53" t="s">
        <v>106</v>
      </c>
      <c r="E53">
        <v>1</v>
      </c>
      <c r="F53">
        <v>0.09</v>
      </c>
      <c r="G53">
        <v>9</v>
      </c>
      <c r="H53">
        <v>0</v>
      </c>
      <c r="I53">
        <v>0.1</v>
      </c>
      <c r="J53">
        <f t="shared" si="0"/>
        <v>90</v>
      </c>
      <c r="K53">
        <f t="shared" si="1"/>
        <v>7</v>
      </c>
      <c r="L53" s="1">
        <f t="shared" si="2"/>
        <v>7.0000000000000007E-2</v>
      </c>
    </row>
    <row r="54" spans="1:12" x14ac:dyDescent="0.35">
      <c r="A54" t="s">
        <v>107</v>
      </c>
      <c r="B54" t="s">
        <v>43</v>
      </c>
      <c r="C54" t="s">
        <v>108</v>
      </c>
      <c r="D54" t="s">
        <v>108</v>
      </c>
      <c r="E54">
        <v>1</v>
      </c>
      <c r="F54">
        <v>10952.5152</v>
      </c>
      <c r="G54">
        <v>2</v>
      </c>
      <c r="H54">
        <v>0</v>
      </c>
      <c r="I54">
        <v>0</v>
      </c>
      <c r="J54" t="str">
        <f t="shared" si="0"/>
        <v>no usage/demand</v>
      </c>
      <c r="K54">
        <f t="shared" si="1"/>
        <v>2</v>
      </c>
      <c r="L54" s="1">
        <f t="shared" si="2"/>
        <v>10952.5152</v>
      </c>
    </row>
    <row r="55" spans="1:12" x14ac:dyDescent="0.35">
      <c r="A55" t="s">
        <v>109</v>
      </c>
      <c r="B55" t="s">
        <v>110</v>
      </c>
      <c r="C55" t="s">
        <v>111</v>
      </c>
      <c r="D55" t="s">
        <v>111</v>
      </c>
      <c r="E55">
        <v>1</v>
      </c>
      <c r="F55">
        <v>10699.92</v>
      </c>
      <c r="G55">
        <v>4</v>
      </c>
      <c r="H55">
        <v>0</v>
      </c>
      <c r="I55">
        <v>0</v>
      </c>
      <c r="J55" t="str">
        <f t="shared" si="0"/>
        <v>no usage/demand</v>
      </c>
      <c r="K55">
        <f t="shared" si="1"/>
        <v>4</v>
      </c>
      <c r="L55" s="1">
        <f t="shared" si="2"/>
        <v>10699.92</v>
      </c>
    </row>
    <row r="56" spans="1:12" x14ac:dyDescent="0.35">
      <c r="A56" t="s">
        <v>112</v>
      </c>
      <c r="B56" t="s">
        <v>19</v>
      </c>
      <c r="C56" t="s">
        <v>58</v>
      </c>
      <c r="D56" t="s">
        <v>58</v>
      </c>
      <c r="E56">
        <v>1</v>
      </c>
      <c r="F56">
        <v>10638.45</v>
      </c>
      <c r="G56">
        <v>1500</v>
      </c>
      <c r="H56">
        <v>0</v>
      </c>
      <c r="I56">
        <v>0</v>
      </c>
      <c r="J56" t="str">
        <f t="shared" si="0"/>
        <v>no usage/demand</v>
      </c>
      <c r="K56">
        <f t="shared" si="1"/>
        <v>1500</v>
      </c>
      <c r="L56" s="1">
        <f t="shared" si="2"/>
        <v>10638.45</v>
      </c>
    </row>
    <row r="57" spans="1:12" x14ac:dyDescent="0.35">
      <c r="A57" t="s">
        <v>113</v>
      </c>
      <c r="B57" t="s">
        <v>22</v>
      </c>
      <c r="C57" t="s">
        <v>23</v>
      </c>
      <c r="D57" t="s">
        <v>24</v>
      </c>
      <c r="E57">
        <v>2</v>
      </c>
      <c r="F57">
        <v>12778.8804</v>
      </c>
      <c r="G57">
        <v>9612</v>
      </c>
      <c r="H57">
        <v>84</v>
      </c>
      <c r="I57">
        <v>77.5</v>
      </c>
      <c r="J57">
        <f t="shared" si="0"/>
        <v>114.42857142857143</v>
      </c>
      <c r="K57">
        <f t="shared" si="1"/>
        <v>7932</v>
      </c>
      <c r="L57" s="1">
        <f t="shared" si="2"/>
        <v>10545.36822022472</v>
      </c>
    </row>
    <row r="58" spans="1:12" x14ac:dyDescent="0.35">
      <c r="A58" t="s">
        <v>114</v>
      </c>
      <c r="B58" t="s">
        <v>43</v>
      </c>
      <c r="C58" t="s">
        <v>115</v>
      </c>
      <c r="D58" t="s">
        <v>115</v>
      </c>
      <c r="E58">
        <v>1</v>
      </c>
      <c r="F58">
        <v>10194.445</v>
      </c>
      <c r="G58">
        <v>50</v>
      </c>
      <c r="H58">
        <v>0</v>
      </c>
      <c r="I58">
        <v>0</v>
      </c>
      <c r="J58" t="str">
        <f t="shared" si="0"/>
        <v>no usage/demand</v>
      </c>
      <c r="K58">
        <f t="shared" si="1"/>
        <v>50</v>
      </c>
      <c r="L58" s="1">
        <f t="shared" si="2"/>
        <v>10194.445</v>
      </c>
    </row>
    <row r="59" spans="1:12" x14ac:dyDescent="0.35">
      <c r="A59" t="s">
        <v>116</v>
      </c>
      <c r="B59" t="s">
        <v>40</v>
      </c>
      <c r="C59" t="s">
        <v>117</v>
      </c>
      <c r="D59" t="s">
        <v>117</v>
      </c>
      <c r="E59">
        <v>1</v>
      </c>
      <c r="F59">
        <v>22802.374800000001</v>
      </c>
      <c r="G59">
        <v>333</v>
      </c>
      <c r="H59">
        <v>9</v>
      </c>
      <c r="I59">
        <v>9.6999999999999993</v>
      </c>
      <c r="J59">
        <f t="shared" si="0"/>
        <v>34.329896907216501</v>
      </c>
      <c r="K59">
        <f t="shared" si="1"/>
        <v>139.00000000000006</v>
      </c>
      <c r="L59" s="1">
        <f t="shared" si="2"/>
        <v>9518.1084000000046</v>
      </c>
    </row>
    <row r="60" spans="1:12" x14ac:dyDescent="0.35">
      <c r="A60" t="s">
        <v>118</v>
      </c>
      <c r="B60" t="s">
        <v>37</v>
      </c>
      <c r="C60" t="s">
        <v>119</v>
      </c>
      <c r="D60" t="s">
        <v>119</v>
      </c>
      <c r="E60">
        <v>2</v>
      </c>
      <c r="F60">
        <v>13369.0087</v>
      </c>
      <c r="G60">
        <v>1093</v>
      </c>
      <c r="H60">
        <v>7</v>
      </c>
      <c r="I60">
        <v>15.8</v>
      </c>
      <c r="J60">
        <f t="shared" si="0"/>
        <v>69.177215189873408</v>
      </c>
      <c r="K60">
        <f t="shared" si="1"/>
        <v>776.99999999999989</v>
      </c>
      <c r="L60" s="1">
        <f t="shared" si="2"/>
        <v>9503.8607135407128</v>
      </c>
    </row>
    <row r="61" spans="1:12" x14ac:dyDescent="0.35">
      <c r="A61" t="s">
        <v>120</v>
      </c>
      <c r="B61" t="s">
        <v>22</v>
      </c>
      <c r="C61" t="s">
        <v>23</v>
      </c>
      <c r="D61" t="s">
        <v>24</v>
      </c>
      <c r="E61">
        <v>2</v>
      </c>
      <c r="F61">
        <v>12018.862800000001</v>
      </c>
      <c r="G61">
        <v>13032</v>
      </c>
      <c r="H61">
        <v>143</v>
      </c>
      <c r="I61">
        <v>121.8</v>
      </c>
      <c r="J61">
        <f t="shared" si="0"/>
        <v>91.132867132867133</v>
      </c>
      <c r="K61">
        <f t="shared" si="1"/>
        <v>10172</v>
      </c>
      <c r="L61" s="1">
        <f t="shared" si="2"/>
        <v>9381.2056784530396</v>
      </c>
    </row>
    <row r="62" spans="1:12" x14ac:dyDescent="0.35">
      <c r="A62" t="s">
        <v>121</v>
      </c>
      <c r="B62" t="s">
        <v>40</v>
      </c>
      <c r="C62" t="s">
        <v>41</v>
      </c>
      <c r="D62" t="s">
        <v>41</v>
      </c>
      <c r="E62">
        <v>1</v>
      </c>
      <c r="F62">
        <v>31892.013599999998</v>
      </c>
      <c r="G62">
        <v>102</v>
      </c>
      <c r="H62">
        <v>3</v>
      </c>
      <c r="I62">
        <v>3.6</v>
      </c>
      <c r="J62">
        <f t="shared" si="0"/>
        <v>28.333333333333332</v>
      </c>
      <c r="K62">
        <f t="shared" si="1"/>
        <v>29.999999999999996</v>
      </c>
      <c r="L62" s="1">
        <f t="shared" si="2"/>
        <v>9380.0039999999972</v>
      </c>
    </row>
    <row r="63" spans="1:12" x14ac:dyDescent="0.35">
      <c r="A63" t="s">
        <v>122</v>
      </c>
      <c r="B63" t="s">
        <v>22</v>
      </c>
      <c r="C63" t="s">
        <v>34</v>
      </c>
      <c r="D63" t="s">
        <v>35</v>
      </c>
      <c r="E63">
        <v>2</v>
      </c>
      <c r="F63">
        <v>13048.6656</v>
      </c>
      <c r="G63">
        <v>12252</v>
      </c>
      <c r="H63">
        <v>180</v>
      </c>
      <c r="I63">
        <v>160.6</v>
      </c>
      <c r="J63">
        <f t="shared" si="0"/>
        <v>68.066666666666663</v>
      </c>
      <c r="K63">
        <f t="shared" si="1"/>
        <v>8652</v>
      </c>
      <c r="L63" s="1">
        <f t="shared" si="2"/>
        <v>9214.5816822722809</v>
      </c>
    </row>
    <row r="64" spans="1:12" x14ac:dyDescent="0.35">
      <c r="A64" t="s">
        <v>123</v>
      </c>
      <c r="B64" t="s">
        <v>40</v>
      </c>
      <c r="C64" t="s">
        <v>124</v>
      </c>
      <c r="D64" t="s">
        <v>124</v>
      </c>
      <c r="E64">
        <v>2</v>
      </c>
      <c r="F64">
        <v>8477.3191999999999</v>
      </c>
      <c r="G64">
        <v>273</v>
      </c>
      <c r="H64">
        <v>0</v>
      </c>
      <c r="I64">
        <v>0.1</v>
      </c>
      <c r="J64">
        <f t="shared" si="0"/>
        <v>2730</v>
      </c>
      <c r="K64">
        <f t="shared" si="1"/>
        <v>271</v>
      </c>
      <c r="L64" s="1">
        <f t="shared" si="2"/>
        <v>8415.2142974358976</v>
      </c>
    </row>
    <row r="65" spans="1:12" x14ac:dyDescent="0.35">
      <c r="A65" t="s">
        <v>125</v>
      </c>
      <c r="B65" t="s">
        <v>37</v>
      </c>
      <c r="C65" t="s">
        <v>126</v>
      </c>
      <c r="D65" t="s">
        <v>126</v>
      </c>
      <c r="E65">
        <v>1</v>
      </c>
      <c r="F65">
        <v>10061.186299999999</v>
      </c>
      <c r="G65">
        <v>121</v>
      </c>
      <c r="H65">
        <v>1</v>
      </c>
      <c r="I65">
        <v>0.8</v>
      </c>
      <c r="J65">
        <f t="shared" si="0"/>
        <v>121</v>
      </c>
      <c r="K65">
        <f t="shared" si="1"/>
        <v>101</v>
      </c>
      <c r="L65" s="1">
        <f t="shared" si="2"/>
        <v>8398.1803</v>
      </c>
    </row>
    <row r="66" spans="1:12" x14ac:dyDescent="0.35">
      <c r="A66" t="s">
        <v>127</v>
      </c>
      <c r="B66" t="s">
        <v>22</v>
      </c>
      <c r="C66" t="s">
        <v>53</v>
      </c>
      <c r="D66" t="s">
        <v>54</v>
      </c>
      <c r="E66">
        <v>1</v>
      </c>
      <c r="F66">
        <v>8496.3647999999994</v>
      </c>
      <c r="G66">
        <v>1176</v>
      </c>
      <c r="H66">
        <v>0</v>
      </c>
      <c r="I66">
        <v>1.8</v>
      </c>
      <c r="J66">
        <f t="shared" ref="J66:J129" si="3">IFERROR(G66/MAX(I66,H66),"no usage/demand")</f>
        <v>653.33333333333337</v>
      </c>
      <c r="K66">
        <f t="shared" ref="K66:K129" si="4">IFERROR(IF(J66="no usage/demand",G66,IF(J66&gt;20,(J66-20)*MAX(H66,I66),0)),"Check")</f>
        <v>1140</v>
      </c>
      <c r="L66" s="1">
        <f t="shared" ref="L66:L129" si="5">IFERROR(F66/G66*K66,0)</f>
        <v>8236.271999999999</v>
      </c>
    </row>
    <row r="67" spans="1:12" x14ac:dyDescent="0.35">
      <c r="A67" t="s">
        <v>128</v>
      </c>
      <c r="B67" t="s">
        <v>40</v>
      </c>
      <c r="C67" t="s">
        <v>117</v>
      </c>
      <c r="D67" t="s">
        <v>117</v>
      </c>
      <c r="E67">
        <v>1</v>
      </c>
      <c r="F67">
        <v>17025.318599999999</v>
      </c>
      <c r="G67">
        <v>114</v>
      </c>
      <c r="H67">
        <v>3</v>
      </c>
      <c r="I67">
        <v>2.2000000000000002</v>
      </c>
      <c r="J67">
        <f t="shared" si="3"/>
        <v>38</v>
      </c>
      <c r="K67">
        <f t="shared" si="4"/>
        <v>54</v>
      </c>
      <c r="L67" s="1">
        <f t="shared" si="5"/>
        <v>8064.6246000000001</v>
      </c>
    </row>
    <row r="68" spans="1:12" x14ac:dyDescent="0.35">
      <c r="A68" t="s">
        <v>129</v>
      </c>
      <c r="B68" t="s">
        <v>22</v>
      </c>
      <c r="C68" t="s">
        <v>34</v>
      </c>
      <c r="D68" t="s">
        <v>35</v>
      </c>
      <c r="E68">
        <v>1</v>
      </c>
      <c r="F68">
        <v>9160.5671999999995</v>
      </c>
      <c r="G68">
        <v>7464</v>
      </c>
      <c r="H68">
        <v>46</v>
      </c>
      <c r="I68">
        <v>37.799999999999997</v>
      </c>
      <c r="J68">
        <f t="shared" si="3"/>
        <v>162.2608695652174</v>
      </c>
      <c r="K68">
        <f t="shared" si="4"/>
        <v>6544.0000000000009</v>
      </c>
      <c r="L68" s="1">
        <f t="shared" si="5"/>
        <v>8031.4512000000004</v>
      </c>
    </row>
    <row r="69" spans="1:12" x14ac:dyDescent="0.35">
      <c r="A69" t="s">
        <v>130</v>
      </c>
      <c r="B69" t="s">
        <v>37</v>
      </c>
      <c r="C69" t="s">
        <v>38</v>
      </c>
      <c r="D69" t="s">
        <v>38</v>
      </c>
      <c r="E69">
        <v>2</v>
      </c>
      <c r="F69">
        <v>8723.23</v>
      </c>
      <c r="G69">
        <v>875</v>
      </c>
      <c r="H69">
        <v>2</v>
      </c>
      <c r="I69">
        <v>4.8</v>
      </c>
      <c r="J69">
        <f t="shared" si="3"/>
        <v>182.29166666666669</v>
      </c>
      <c r="K69">
        <f t="shared" si="4"/>
        <v>779.00000000000011</v>
      </c>
      <c r="L69" s="1">
        <f t="shared" si="5"/>
        <v>7766.1670514285715</v>
      </c>
    </row>
    <row r="70" spans="1:12" x14ac:dyDescent="0.35">
      <c r="A70" t="s">
        <v>131</v>
      </c>
      <c r="B70" t="s">
        <v>22</v>
      </c>
      <c r="C70" t="s">
        <v>23</v>
      </c>
      <c r="D70" t="s">
        <v>24</v>
      </c>
      <c r="E70">
        <v>1</v>
      </c>
      <c r="F70">
        <v>17922.319200000002</v>
      </c>
      <c r="G70">
        <v>14004</v>
      </c>
      <c r="H70">
        <v>398</v>
      </c>
      <c r="I70">
        <v>387.7</v>
      </c>
      <c r="J70">
        <f t="shared" si="3"/>
        <v>35.185929648241206</v>
      </c>
      <c r="K70">
        <f t="shared" si="4"/>
        <v>6044</v>
      </c>
      <c r="L70" s="1">
        <f t="shared" si="5"/>
        <v>7735.1112000000003</v>
      </c>
    </row>
    <row r="71" spans="1:12" x14ac:dyDescent="0.35">
      <c r="A71" t="s">
        <v>132</v>
      </c>
      <c r="B71" t="s">
        <v>40</v>
      </c>
      <c r="C71" t="s">
        <v>124</v>
      </c>
      <c r="D71" t="s">
        <v>124</v>
      </c>
      <c r="E71">
        <v>1</v>
      </c>
      <c r="F71">
        <v>9701.9789999999994</v>
      </c>
      <c r="G71">
        <v>179</v>
      </c>
      <c r="H71">
        <v>0</v>
      </c>
      <c r="I71">
        <v>1.9</v>
      </c>
      <c r="J71">
        <f t="shared" si="3"/>
        <v>94.21052631578948</v>
      </c>
      <c r="K71">
        <f t="shared" si="4"/>
        <v>141</v>
      </c>
      <c r="L71" s="1">
        <f t="shared" si="5"/>
        <v>7642.3409999999994</v>
      </c>
    </row>
    <row r="72" spans="1:12" x14ac:dyDescent="0.35">
      <c r="A72" t="s">
        <v>133</v>
      </c>
      <c r="B72" t="s">
        <v>88</v>
      </c>
      <c r="C72" t="s">
        <v>89</v>
      </c>
      <c r="D72" t="s">
        <v>89</v>
      </c>
      <c r="E72">
        <v>1</v>
      </c>
      <c r="F72">
        <v>7601.4624000000003</v>
      </c>
      <c r="G72">
        <v>672</v>
      </c>
      <c r="H72">
        <v>0</v>
      </c>
      <c r="I72">
        <v>0</v>
      </c>
      <c r="J72" t="str">
        <f t="shared" si="3"/>
        <v>no usage/demand</v>
      </c>
      <c r="K72">
        <f t="shared" si="4"/>
        <v>672</v>
      </c>
      <c r="L72" s="1">
        <f t="shared" si="5"/>
        <v>7601.4624000000003</v>
      </c>
    </row>
    <row r="73" spans="1:12" x14ac:dyDescent="0.35">
      <c r="A73" t="s">
        <v>134</v>
      </c>
      <c r="B73" t="s">
        <v>22</v>
      </c>
      <c r="C73" t="s">
        <v>34</v>
      </c>
      <c r="D73" t="s">
        <v>35</v>
      </c>
      <c r="E73">
        <v>2</v>
      </c>
      <c r="F73">
        <v>8657.4635999999991</v>
      </c>
      <c r="G73">
        <v>576</v>
      </c>
      <c r="H73">
        <v>3</v>
      </c>
      <c r="I73">
        <v>3.7</v>
      </c>
      <c r="J73">
        <f t="shared" si="3"/>
        <v>155.67567567567568</v>
      </c>
      <c r="K73">
        <f t="shared" si="4"/>
        <v>502.00000000000006</v>
      </c>
      <c r="L73" s="1">
        <f t="shared" si="5"/>
        <v>7545.2200125000008</v>
      </c>
    </row>
    <row r="74" spans="1:12" x14ac:dyDescent="0.35">
      <c r="A74" t="s">
        <v>135</v>
      </c>
      <c r="B74" t="s">
        <v>22</v>
      </c>
      <c r="C74" t="s">
        <v>34</v>
      </c>
      <c r="D74" t="s">
        <v>61</v>
      </c>
      <c r="E74">
        <v>2</v>
      </c>
      <c r="F74">
        <v>8676.5292000000009</v>
      </c>
      <c r="G74">
        <v>804</v>
      </c>
      <c r="H74">
        <v>7</v>
      </c>
      <c r="I74">
        <v>1.8</v>
      </c>
      <c r="J74">
        <f t="shared" si="3"/>
        <v>114.85714285714286</v>
      </c>
      <c r="K74">
        <f t="shared" si="4"/>
        <v>664</v>
      </c>
      <c r="L74" s="1">
        <f t="shared" si="5"/>
        <v>7165.6907820895522</v>
      </c>
    </row>
    <row r="75" spans="1:12" x14ac:dyDescent="0.35">
      <c r="A75" t="s">
        <v>136</v>
      </c>
      <c r="B75" t="s">
        <v>22</v>
      </c>
      <c r="C75" t="s">
        <v>23</v>
      </c>
      <c r="D75" t="s">
        <v>24</v>
      </c>
      <c r="E75">
        <v>1</v>
      </c>
      <c r="F75">
        <v>11595.787200000001</v>
      </c>
      <c r="G75">
        <v>7884</v>
      </c>
      <c r="H75">
        <v>153</v>
      </c>
      <c r="I75">
        <v>132.9</v>
      </c>
      <c r="J75">
        <f t="shared" si="3"/>
        <v>51.529411764705884</v>
      </c>
      <c r="K75">
        <f t="shared" si="4"/>
        <v>4824</v>
      </c>
      <c r="L75" s="1">
        <f t="shared" si="5"/>
        <v>7095.1392000000005</v>
      </c>
    </row>
    <row r="76" spans="1:12" x14ac:dyDescent="0.35">
      <c r="A76" t="s">
        <v>137</v>
      </c>
      <c r="B76" t="s">
        <v>22</v>
      </c>
      <c r="C76" t="s">
        <v>34</v>
      </c>
      <c r="D76" t="s">
        <v>138</v>
      </c>
      <c r="E76">
        <v>1</v>
      </c>
      <c r="F76">
        <v>6900.9888000000001</v>
      </c>
      <c r="G76">
        <v>2136</v>
      </c>
      <c r="H76">
        <v>0</v>
      </c>
      <c r="I76">
        <v>0</v>
      </c>
      <c r="J76" t="str">
        <f t="shared" si="3"/>
        <v>no usage/demand</v>
      </c>
      <c r="K76">
        <f t="shared" si="4"/>
        <v>2136</v>
      </c>
      <c r="L76" s="1">
        <f t="shared" si="5"/>
        <v>6900.9888000000001</v>
      </c>
    </row>
    <row r="77" spans="1:12" x14ac:dyDescent="0.35">
      <c r="A77" t="s">
        <v>139</v>
      </c>
      <c r="B77" t="s">
        <v>43</v>
      </c>
      <c r="C77" t="s">
        <v>140</v>
      </c>
      <c r="D77" t="s">
        <v>140</v>
      </c>
      <c r="E77">
        <v>1</v>
      </c>
      <c r="F77">
        <v>7091.7471999999998</v>
      </c>
      <c r="G77">
        <v>68</v>
      </c>
      <c r="H77">
        <v>0</v>
      </c>
      <c r="I77">
        <v>0.1</v>
      </c>
      <c r="J77">
        <f t="shared" si="3"/>
        <v>680</v>
      </c>
      <c r="K77">
        <f t="shared" si="4"/>
        <v>66</v>
      </c>
      <c r="L77" s="1">
        <f t="shared" si="5"/>
        <v>6883.1663999999992</v>
      </c>
    </row>
    <row r="78" spans="1:12" x14ac:dyDescent="0.35">
      <c r="A78" t="s">
        <v>141</v>
      </c>
      <c r="B78" t="s">
        <v>16</v>
      </c>
      <c r="C78" t="s">
        <v>142</v>
      </c>
      <c r="D78" t="s">
        <v>142</v>
      </c>
      <c r="E78">
        <v>1</v>
      </c>
      <c r="F78">
        <v>12261.375</v>
      </c>
      <c r="G78">
        <v>135</v>
      </c>
      <c r="H78">
        <v>3</v>
      </c>
      <c r="I78">
        <v>0.3</v>
      </c>
      <c r="J78">
        <f t="shared" si="3"/>
        <v>45</v>
      </c>
      <c r="K78">
        <f t="shared" si="4"/>
        <v>75</v>
      </c>
      <c r="L78" s="1">
        <f t="shared" si="5"/>
        <v>6811.875</v>
      </c>
    </row>
    <row r="79" spans="1:12" x14ac:dyDescent="0.35">
      <c r="A79" t="s">
        <v>143</v>
      </c>
      <c r="B79" t="s">
        <v>16</v>
      </c>
      <c r="C79" t="s">
        <v>144</v>
      </c>
      <c r="D79" t="s">
        <v>144</v>
      </c>
      <c r="E79">
        <v>1</v>
      </c>
      <c r="F79">
        <v>6849.36</v>
      </c>
      <c r="G79">
        <v>2700</v>
      </c>
      <c r="H79">
        <v>3</v>
      </c>
      <c r="I79">
        <v>0</v>
      </c>
      <c r="J79">
        <f t="shared" si="3"/>
        <v>900</v>
      </c>
      <c r="K79">
        <f t="shared" si="4"/>
        <v>2640</v>
      </c>
      <c r="L79" s="1">
        <f t="shared" si="5"/>
        <v>6697.152</v>
      </c>
    </row>
    <row r="80" spans="1:12" x14ac:dyDescent="0.35">
      <c r="A80" t="s">
        <v>145</v>
      </c>
      <c r="B80" t="s">
        <v>37</v>
      </c>
      <c r="C80" t="s">
        <v>68</v>
      </c>
      <c r="D80" t="s">
        <v>68</v>
      </c>
      <c r="E80">
        <v>1</v>
      </c>
      <c r="F80">
        <v>7493.3249999999998</v>
      </c>
      <c r="G80">
        <v>1470</v>
      </c>
      <c r="H80">
        <v>4</v>
      </c>
      <c r="I80">
        <v>9.8000000000000007</v>
      </c>
      <c r="J80">
        <f t="shared" si="3"/>
        <v>150</v>
      </c>
      <c r="K80">
        <f t="shared" si="4"/>
        <v>1274</v>
      </c>
      <c r="L80" s="1">
        <f t="shared" si="5"/>
        <v>6494.2150000000001</v>
      </c>
    </row>
    <row r="81" spans="1:12" x14ac:dyDescent="0.35">
      <c r="A81" t="s">
        <v>146</v>
      </c>
      <c r="B81" t="s">
        <v>37</v>
      </c>
      <c r="C81" t="s">
        <v>147</v>
      </c>
      <c r="D81" t="s">
        <v>147</v>
      </c>
      <c r="E81">
        <v>1</v>
      </c>
      <c r="F81">
        <v>8244.3076000000001</v>
      </c>
      <c r="G81">
        <v>188</v>
      </c>
      <c r="H81">
        <v>1</v>
      </c>
      <c r="I81">
        <v>2</v>
      </c>
      <c r="J81">
        <f t="shared" si="3"/>
        <v>94</v>
      </c>
      <c r="K81">
        <f t="shared" si="4"/>
        <v>148</v>
      </c>
      <c r="L81" s="1">
        <f t="shared" si="5"/>
        <v>6490.1995999999999</v>
      </c>
    </row>
    <row r="82" spans="1:12" x14ac:dyDescent="0.35">
      <c r="A82" t="s">
        <v>148</v>
      </c>
      <c r="B82" t="s">
        <v>40</v>
      </c>
      <c r="C82" t="s">
        <v>117</v>
      </c>
      <c r="D82" t="s">
        <v>117</v>
      </c>
      <c r="E82">
        <v>2</v>
      </c>
      <c r="F82">
        <v>13687.3076</v>
      </c>
      <c r="G82">
        <v>152</v>
      </c>
      <c r="H82">
        <v>4</v>
      </c>
      <c r="I82">
        <v>1.8</v>
      </c>
      <c r="J82">
        <f t="shared" si="3"/>
        <v>38</v>
      </c>
      <c r="K82">
        <f t="shared" si="4"/>
        <v>72</v>
      </c>
      <c r="L82" s="1">
        <f t="shared" si="5"/>
        <v>6483.4614947368418</v>
      </c>
    </row>
    <row r="83" spans="1:12" x14ac:dyDescent="0.35">
      <c r="A83" t="s">
        <v>149</v>
      </c>
      <c r="B83" t="s">
        <v>150</v>
      </c>
      <c r="C83" t="s">
        <v>151</v>
      </c>
      <c r="D83" t="s">
        <v>152</v>
      </c>
      <c r="E83">
        <v>1</v>
      </c>
      <c r="F83">
        <v>6903.9840000000004</v>
      </c>
      <c r="G83">
        <v>240</v>
      </c>
      <c r="H83">
        <v>1</v>
      </c>
      <c r="I83">
        <v>0.9</v>
      </c>
      <c r="J83">
        <f t="shared" si="3"/>
        <v>240</v>
      </c>
      <c r="K83">
        <f t="shared" si="4"/>
        <v>220</v>
      </c>
      <c r="L83" s="1">
        <f t="shared" si="5"/>
        <v>6328.652</v>
      </c>
    </row>
    <row r="84" spans="1:12" x14ac:dyDescent="0.35">
      <c r="A84" t="s">
        <v>153</v>
      </c>
      <c r="B84" t="s">
        <v>22</v>
      </c>
      <c r="C84" t="s">
        <v>53</v>
      </c>
      <c r="D84" t="s">
        <v>154</v>
      </c>
      <c r="E84">
        <v>1</v>
      </c>
      <c r="F84">
        <v>6617.25</v>
      </c>
      <c r="G84">
        <v>4500</v>
      </c>
      <c r="H84">
        <v>10</v>
      </c>
      <c r="I84">
        <v>8.3000000000000007</v>
      </c>
      <c r="J84">
        <f t="shared" si="3"/>
        <v>450</v>
      </c>
      <c r="K84">
        <f t="shared" si="4"/>
        <v>4300</v>
      </c>
      <c r="L84" s="1">
        <f t="shared" si="5"/>
        <v>6323.15</v>
      </c>
    </row>
    <row r="85" spans="1:12" x14ac:dyDescent="0.35">
      <c r="A85" t="s">
        <v>155</v>
      </c>
      <c r="B85" t="s">
        <v>22</v>
      </c>
      <c r="C85" t="s">
        <v>34</v>
      </c>
      <c r="D85" t="s">
        <v>138</v>
      </c>
      <c r="E85">
        <v>1</v>
      </c>
      <c r="F85">
        <v>7538.8608000000004</v>
      </c>
      <c r="G85">
        <v>9792</v>
      </c>
      <c r="H85">
        <v>85</v>
      </c>
      <c r="I85">
        <v>88.6</v>
      </c>
      <c r="J85">
        <f t="shared" si="3"/>
        <v>110.51918735891648</v>
      </c>
      <c r="K85">
        <f t="shared" si="4"/>
        <v>8020</v>
      </c>
      <c r="L85" s="1">
        <f t="shared" si="5"/>
        <v>6174.598</v>
      </c>
    </row>
    <row r="86" spans="1:12" x14ac:dyDescent="0.35">
      <c r="A86" t="s">
        <v>156</v>
      </c>
      <c r="B86" t="s">
        <v>22</v>
      </c>
      <c r="C86" t="s">
        <v>34</v>
      </c>
      <c r="D86" t="s">
        <v>61</v>
      </c>
      <c r="E86">
        <v>2</v>
      </c>
      <c r="F86">
        <v>8931.5928000000004</v>
      </c>
      <c r="G86">
        <v>576</v>
      </c>
      <c r="H86">
        <v>3</v>
      </c>
      <c r="I86">
        <v>9.1999999999999993</v>
      </c>
      <c r="J86">
        <f t="shared" si="3"/>
        <v>62.608695652173921</v>
      </c>
      <c r="K86">
        <f t="shared" si="4"/>
        <v>392.00000000000006</v>
      </c>
      <c r="L86" s="1">
        <f t="shared" si="5"/>
        <v>6078.4451000000017</v>
      </c>
    </row>
    <row r="87" spans="1:12" x14ac:dyDescent="0.35">
      <c r="A87" t="s">
        <v>157</v>
      </c>
      <c r="B87" t="s">
        <v>16</v>
      </c>
      <c r="C87" t="s">
        <v>142</v>
      </c>
      <c r="D87" t="s">
        <v>142</v>
      </c>
      <c r="E87">
        <v>1</v>
      </c>
      <c r="F87">
        <v>6203.9250000000002</v>
      </c>
      <c r="G87">
        <v>45</v>
      </c>
      <c r="H87">
        <v>0</v>
      </c>
      <c r="I87">
        <v>0.1</v>
      </c>
      <c r="J87">
        <f t="shared" si="3"/>
        <v>450</v>
      </c>
      <c r="K87">
        <f t="shared" si="4"/>
        <v>43</v>
      </c>
      <c r="L87" s="1">
        <f t="shared" si="5"/>
        <v>5928.1950000000006</v>
      </c>
    </row>
    <row r="88" spans="1:12" x14ac:dyDescent="0.35">
      <c r="A88" t="s">
        <v>158</v>
      </c>
      <c r="B88" t="s">
        <v>40</v>
      </c>
      <c r="C88" t="s">
        <v>117</v>
      </c>
      <c r="D88" t="s">
        <v>117</v>
      </c>
      <c r="E88">
        <v>1</v>
      </c>
      <c r="F88">
        <v>9227.9055000000008</v>
      </c>
      <c r="G88">
        <v>55</v>
      </c>
      <c r="H88">
        <v>1</v>
      </c>
      <c r="I88">
        <v>0</v>
      </c>
      <c r="J88">
        <f t="shared" si="3"/>
        <v>55</v>
      </c>
      <c r="K88">
        <f t="shared" si="4"/>
        <v>35</v>
      </c>
      <c r="L88" s="1">
        <f t="shared" si="5"/>
        <v>5872.3035</v>
      </c>
    </row>
    <row r="89" spans="1:12" x14ac:dyDescent="0.35">
      <c r="A89" t="s">
        <v>159</v>
      </c>
      <c r="B89" t="s">
        <v>16</v>
      </c>
      <c r="C89" t="s">
        <v>84</v>
      </c>
      <c r="D89" t="s">
        <v>84</v>
      </c>
      <c r="E89">
        <v>1</v>
      </c>
      <c r="F89">
        <v>6894.2016000000003</v>
      </c>
      <c r="G89">
        <v>1056</v>
      </c>
      <c r="H89">
        <v>8</v>
      </c>
      <c r="I89">
        <v>6.9</v>
      </c>
      <c r="J89">
        <f t="shared" si="3"/>
        <v>132</v>
      </c>
      <c r="K89">
        <f t="shared" si="4"/>
        <v>896</v>
      </c>
      <c r="L89" s="1">
        <f t="shared" si="5"/>
        <v>5849.6256000000003</v>
      </c>
    </row>
    <row r="90" spans="1:12" x14ac:dyDescent="0.35">
      <c r="A90" t="s">
        <v>160</v>
      </c>
      <c r="B90" t="s">
        <v>161</v>
      </c>
      <c r="C90" t="s">
        <v>162</v>
      </c>
      <c r="D90" t="s">
        <v>163</v>
      </c>
      <c r="E90">
        <v>1</v>
      </c>
      <c r="F90">
        <v>7656.2250000000004</v>
      </c>
      <c r="G90">
        <v>930</v>
      </c>
      <c r="H90">
        <v>6</v>
      </c>
      <c r="I90">
        <v>11.5</v>
      </c>
      <c r="J90">
        <f t="shared" si="3"/>
        <v>80.869565217391298</v>
      </c>
      <c r="K90">
        <f t="shared" si="4"/>
        <v>699.99999999999989</v>
      </c>
      <c r="L90" s="1">
        <f t="shared" si="5"/>
        <v>5762.7499999999991</v>
      </c>
    </row>
    <row r="91" spans="1:12" x14ac:dyDescent="0.35">
      <c r="A91" t="s">
        <v>164</v>
      </c>
      <c r="B91" t="s">
        <v>37</v>
      </c>
      <c r="C91" t="s">
        <v>165</v>
      </c>
      <c r="D91" t="s">
        <v>165</v>
      </c>
      <c r="E91">
        <v>1</v>
      </c>
      <c r="F91">
        <v>7183.5578999999998</v>
      </c>
      <c r="G91">
        <v>379.99999999999989</v>
      </c>
      <c r="H91">
        <v>0</v>
      </c>
      <c r="I91">
        <v>3.8</v>
      </c>
      <c r="J91">
        <f t="shared" si="3"/>
        <v>99.999999999999972</v>
      </c>
      <c r="K91">
        <f t="shared" si="4"/>
        <v>303.99999999999989</v>
      </c>
      <c r="L91" s="1">
        <f t="shared" si="5"/>
        <v>5746.8463199999987</v>
      </c>
    </row>
    <row r="92" spans="1:12" x14ac:dyDescent="0.35">
      <c r="A92" t="s">
        <v>166</v>
      </c>
      <c r="B92" t="s">
        <v>100</v>
      </c>
      <c r="C92" t="s">
        <v>101</v>
      </c>
      <c r="D92" t="s">
        <v>101</v>
      </c>
      <c r="E92">
        <v>1</v>
      </c>
      <c r="F92">
        <v>11435.054400000001</v>
      </c>
      <c r="G92">
        <v>24</v>
      </c>
      <c r="H92">
        <v>0</v>
      </c>
      <c r="I92">
        <v>0.8</v>
      </c>
      <c r="J92">
        <f t="shared" si="3"/>
        <v>30</v>
      </c>
      <c r="K92">
        <f t="shared" si="4"/>
        <v>8</v>
      </c>
      <c r="L92" s="1">
        <f t="shared" si="5"/>
        <v>3811.6848000000005</v>
      </c>
    </row>
    <row r="93" spans="1:12" x14ac:dyDescent="0.35">
      <c r="A93" t="s">
        <v>167</v>
      </c>
      <c r="B93" t="s">
        <v>88</v>
      </c>
      <c r="C93" t="s">
        <v>168</v>
      </c>
      <c r="D93" t="s">
        <v>168</v>
      </c>
      <c r="E93">
        <v>1</v>
      </c>
      <c r="F93">
        <v>8610.4236000000001</v>
      </c>
      <c r="G93">
        <v>372</v>
      </c>
      <c r="H93">
        <v>3</v>
      </c>
      <c r="I93">
        <v>6.5</v>
      </c>
      <c r="J93">
        <f t="shared" si="3"/>
        <v>57.230769230769234</v>
      </c>
      <c r="K93">
        <f t="shared" si="4"/>
        <v>242.00000000000003</v>
      </c>
      <c r="L93" s="1">
        <f t="shared" si="5"/>
        <v>5601.4046000000008</v>
      </c>
    </row>
    <row r="94" spans="1:12" x14ac:dyDescent="0.35">
      <c r="A94" t="s">
        <v>169</v>
      </c>
      <c r="B94" t="s">
        <v>110</v>
      </c>
      <c r="C94" t="s">
        <v>170</v>
      </c>
      <c r="D94" t="s">
        <v>171</v>
      </c>
      <c r="E94">
        <v>1</v>
      </c>
      <c r="F94">
        <v>5980</v>
      </c>
      <c r="G94">
        <v>460</v>
      </c>
      <c r="H94">
        <v>0</v>
      </c>
      <c r="I94">
        <v>1.5</v>
      </c>
      <c r="J94">
        <f t="shared" si="3"/>
        <v>306.66666666666669</v>
      </c>
      <c r="K94">
        <f t="shared" si="4"/>
        <v>430</v>
      </c>
      <c r="L94" s="1">
        <f t="shared" si="5"/>
        <v>5590</v>
      </c>
    </row>
    <row r="95" spans="1:12" x14ac:dyDescent="0.35">
      <c r="A95" t="s">
        <v>172</v>
      </c>
      <c r="B95" t="s">
        <v>81</v>
      </c>
      <c r="C95" t="s">
        <v>173</v>
      </c>
      <c r="D95" t="s">
        <v>173</v>
      </c>
      <c r="E95">
        <v>1</v>
      </c>
      <c r="F95">
        <v>11411.2752</v>
      </c>
      <c r="G95">
        <v>78</v>
      </c>
      <c r="H95">
        <v>2</v>
      </c>
      <c r="I95">
        <v>0.5</v>
      </c>
      <c r="J95">
        <f t="shared" si="3"/>
        <v>39</v>
      </c>
      <c r="K95">
        <f t="shared" si="4"/>
        <v>38</v>
      </c>
      <c r="L95" s="1">
        <f t="shared" si="5"/>
        <v>5559.3391999999994</v>
      </c>
    </row>
    <row r="96" spans="1:12" x14ac:dyDescent="0.35">
      <c r="A96" t="s">
        <v>174</v>
      </c>
      <c r="B96" t="s">
        <v>37</v>
      </c>
      <c r="C96" t="s">
        <v>38</v>
      </c>
      <c r="D96" t="s">
        <v>38</v>
      </c>
      <c r="E96">
        <v>1</v>
      </c>
      <c r="F96">
        <v>5557.5982000000004</v>
      </c>
      <c r="G96">
        <v>641</v>
      </c>
      <c r="H96">
        <v>0</v>
      </c>
      <c r="I96">
        <v>0</v>
      </c>
      <c r="J96" t="str">
        <f t="shared" si="3"/>
        <v>no usage/demand</v>
      </c>
      <c r="K96">
        <f t="shared" si="4"/>
        <v>641</v>
      </c>
      <c r="L96" s="1">
        <f t="shared" si="5"/>
        <v>5557.5982000000004</v>
      </c>
    </row>
    <row r="97" spans="1:12" x14ac:dyDescent="0.35">
      <c r="A97" t="s">
        <v>175</v>
      </c>
      <c r="B97" t="s">
        <v>22</v>
      </c>
      <c r="C97" t="s">
        <v>176</v>
      </c>
      <c r="D97" t="s">
        <v>177</v>
      </c>
      <c r="E97">
        <v>1</v>
      </c>
      <c r="F97">
        <v>5510.0796</v>
      </c>
      <c r="G97">
        <v>1788</v>
      </c>
      <c r="H97">
        <v>0</v>
      </c>
      <c r="I97">
        <v>0</v>
      </c>
      <c r="J97" t="str">
        <f t="shared" si="3"/>
        <v>no usage/demand</v>
      </c>
      <c r="K97">
        <f t="shared" si="4"/>
        <v>1788</v>
      </c>
      <c r="L97" s="1">
        <f t="shared" si="5"/>
        <v>5510.0796</v>
      </c>
    </row>
    <row r="98" spans="1:12" x14ac:dyDescent="0.35">
      <c r="A98" t="s">
        <v>178</v>
      </c>
      <c r="B98" t="s">
        <v>16</v>
      </c>
      <c r="C98" t="s">
        <v>142</v>
      </c>
      <c r="D98" t="s">
        <v>142</v>
      </c>
      <c r="E98">
        <v>1</v>
      </c>
      <c r="F98">
        <v>8124.48</v>
      </c>
      <c r="G98">
        <v>62</v>
      </c>
      <c r="H98">
        <v>1</v>
      </c>
      <c r="I98">
        <v>0.2</v>
      </c>
      <c r="J98">
        <f t="shared" si="3"/>
        <v>62</v>
      </c>
      <c r="K98">
        <f t="shared" si="4"/>
        <v>42</v>
      </c>
      <c r="L98" s="1">
        <f t="shared" si="5"/>
        <v>5503.6799999999994</v>
      </c>
    </row>
    <row r="99" spans="1:12" x14ac:dyDescent="0.35">
      <c r="A99" t="s">
        <v>179</v>
      </c>
      <c r="B99" t="s">
        <v>22</v>
      </c>
      <c r="C99" t="s">
        <v>53</v>
      </c>
      <c r="D99" t="s">
        <v>180</v>
      </c>
      <c r="E99">
        <v>1</v>
      </c>
      <c r="F99">
        <v>5484.1019999999999</v>
      </c>
      <c r="G99">
        <v>780</v>
      </c>
      <c r="H99">
        <v>0</v>
      </c>
      <c r="I99">
        <v>0</v>
      </c>
      <c r="J99" t="str">
        <f t="shared" si="3"/>
        <v>no usage/demand</v>
      </c>
      <c r="K99">
        <f t="shared" si="4"/>
        <v>780</v>
      </c>
      <c r="L99" s="1">
        <f t="shared" si="5"/>
        <v>5484.1019999999999</v>
      </c>
    </row>
    <row r="100" spans="1:12" x14ac:dyDescent="0.35">
      <c r="A100" t="s">
        <v>181</v>
      </c>
      <c r="B100" t="s">
        <v>22</v>
      </c>
      <c r="C100" t="s">
        <v>34</v>
      </c>
      <c r="D100" t="s">
        <v>35</v>
      </c>
      <c r="E100">
        <v>2</v>
      </c>
      <c r="F100">
        <v>10208.0412</v>
      </c>
      <c r="G100">
        <v>8208</v>
      </c>
      <c r="H100">
        <v>80</v>
      </c>
      <c r="I100">
        <v>191.1</v>
      </c>
      <c r="J100">
        <f t="shared" si="3"/>
        <v>42.951334379905809</v>
      </c>
      <c r="K100">
        <f t="shared" si="4"/>
        <v>4386</v>
      </c>
      <c r="L100" s="1">
        <f t="shared" si="5"/>
        <v>5454.7354657894739</v>
      </c>
    </row>
    <row r="101" spans="1:12" x14ac:dyDescent="0.35">
      <c r="A101" t="s">
        <v>182</v>
      </c>
      <c r="B101" t="s">
        <v>16</v>
      </c>
      <c r="C101" t="s">
        <v>142</v>
      </c>
      <c r="D101" t="s">
        <v>142</v>
      </c>
      <c r="E101">
        <v>1</v>
      </c>
      <c r="F101">
        <v>5859.9449999999997</v>
      </c>
      <c r="G101">
        <v>53</v>
      </c>
      <c r="H101">
        <v>0</v>
      </c>
      <c r="I101">
        <v>0.2</v>
      </c>
      <c r="J101">
        <f t="shared" si="3"/>
        <v>265</v>
      </c>
      <c r="K101">
        <f t="shared" si="4"/>
        <v>49</v>
      </c>
      <c r="L101" s="1">
        <f t="shared" si="5"/>
        <v>5417.6849999999995</v>
      </c>
    </row>
    <row r="102" spans="1:12" x14ac:dyDescent="0.35">
      <c r="A102" t="s">
        <v>183</v>
      </c>
      <c r="B102" t="s">
        <v>150</v>
      </c>
      <c r="C102" t="s">
        <v>184</v>
      </c>
      <c r="D102" t="s">
        <v>185</v>
      </c>
      <c r="E102">
        <v>1</v>
      </c>
      <c r="F102">
        <v>5499.7703000000001</v>
      </c>
      <c r="G102">
        <v>972.00000000000011</v>
      </c>
      <c r="H102">
        <v>0</v>
      </c>
      <c r="I102">
        <v>0.9</v>
      </c>
      <c r="J102">
        <f t="shared" si="3"/>
        <v>1080</v>
      </c>
      <c r="K102">
        <f t="shared" si="4"/>
        <v>954</v>
      </c>
      <c r="L102" s="1">
        <f t="shared" si="5"/>
        <v>5397.9227018518513</v>
      </c>
    </row>
    <row r="103" spans="1:12" x14ac:dyDescent="0.35">
      <c r="A103" t="s">
        <v>186</v>
      </c>
      <c r="B103" t="s">
        <v>37</v>
      </c>
      <c r="C103" t="s">
        <v>75</v>
      </c>
      <c r="D103" t="s">
        <v>75</v>
      </c>
      <c r="E103">
        <v>2</v>
      </c>
      <c r="F103">
        <v>21652.6787</v>
      </c>
      <c r="G103">
        <v>639</v>
      </c>
      <c r="H103">
        <v>11</v>
      </c>
      <c r="I103">
        <v>24</v>
      </c>
      <c r="J103">
        <f t="shared" si="3"/>
        <v>26.625</v>
      </c>
      <c r="K103">
        <f t="shared" si="4"/>
        <v>159</v>
      </c>
      <c r="L103" s="1">
        <f t="shared" si="5"/>
        <v>5387.7557328638504</v>
      </c>
    </row>
    <row r="104" spans="1:12" x14ac:dyDescent="0.35">
      <c r="A104" t="s">
        <v>187</v>
      </c>
      <c r="B104" t="s">
        <v>22</v>
      </c>
      <c r="C104" t="s">
        <v>23</v>
      </c>
      <c r="D104" t="s">
        <v>24</v>
      </c>
      <c r="E104">
        <v>2</v>
      </c>
      <c r="F104">
        <v>5370.8724000000002</v>
      </c>
      <c r="G104">
        <v>2988</v>
      </c>
      <c r="H104">
        <v>0</v>
      </c>
      <c r="I104">
        <v>0</v>
      </c>
      <c r="J104" t="str">
        <f t="shared" si="3"/>
        <v>no usage/demand</v>
      </c>
      <c r="K104">
        <f t="shared" si="4"/>
        <v>2988</v>
      </c>
      <c r="L104" s="1">
        <f t="shared" si="5"/>
        <v>5370.8724000000002</v>
      </c>
    </row>
    <row r="105" spans="1:12" x14ac:dyDescent="0.35">
      <c r="A105" t="s">
        <v>188</v>
      </c>
      <c r="B105" t="s">
        <v>16</v>
      </c>
      <c r="C105" t="s">
        <v>17</v>
      </c>
      <c r="D105" t="s">
        <v>17</v>
      </c>
      <c r="E105">
        <v>1</v>
      </c>
      <c r="F105">
        <v>5546.3</v>
      </c>
      <c r="G105">
        <v>1850</v>
      </c>
      <c r="H105">
        <v>4</v>
      </c>
      <c r="I105">
        <v>0</v>
      </c>
      <c r="J105">
        <f t="shared" si="3"/>
        <v>462.5</v>
      </c>
      <c r="K105">
        <f t="shared" si="4"/>
        <v>1770</v>
      </c>
      <c r="L105" s="1">
        <f t="shared" si="5"/>
        <v>5306.46</v>
      </c>
    </row>
    <row r="106" spans="1:12" x14ac:dyDescent="0.35">
      <c r="A106" t="s">
        <v>189</v>
      </c>
      <c r="B106" t="s">
        <v>22</v>
      </c>
      <c r="C106" t="s">
        <v>78</v>
      </c>
      <c r="D106" t="s">
        <v>79</v>
      </c>
      <c r="E106">
        <v>1</v>
      </c>
      <c r="F106">
        <v>5508.0324000000001</v>
      </c>
      <c r="G106">
        <v>4212</v>
      </c>
      <c r="H106">
        <v>6</v>
      </c>
      <c r="I106">
        <v>8.3000000000000007</v>
      </c>
      <c r="J106">
        <f t="shared" si="3"/>
        <v>507.46987951807222</v>
      </c>
      <c r="K106">
        <f t="shared" si="4"/>
        <v>4045.9999999999995</v>
      </c>
      <c r="L106" s="1">
        <f t="shared" si="5"/>
        <v>5290.9542000000001</v>
      </c>
    </row>
    <row r="107" spans="1:12" x14ac:dyDescent="0.35">
      <c r="A107" t="s">
        <v>190</v>
      </c>
      <c r="B107" t="s">
        <v>22</v>
      </c>
      <c r="C107" t="s">
        <v>23</v>
      </c>
      <c r="D107" t="s">
        <v>24</v>
      </c>
      <c r="E107">
        <v>1</v>
      </c>
      <c r="F107">
        <v>5266.0608000000002</v>
      </c>
      <c r="G107">
        <v>264</v>
      </c>
      <c r="H107">
        <v>0</v>
      </c>
      <c r="I107">
        <v>0</v>
      </c>
      <c r="J107" t="str">
        <f t="shared" si="3"/>
        <v>no usage/demand</v>
      </c>
      <c r="K107">
        <f t="shared" si="4"/>
        <v>264</v>
      </c>
      <c r="L107" s="1">
        <f t="shared" si="5"/>
        <v>5266.0608000000002</v>
      </c>
    </row>
    <row r="108" spans="1:12" x14ac:dyDescent="0.35">
      <c r="A108" t="s">
        <v>191</v>
      </c>
      <c r="B108" t="s">
        <v>110</v>
      </c>
      <c r="C108" t="s">
        <v>170</v>
      </c>
      <c r="D108" t="s">
        <v>192</v>
      </c>
      <c r="E108">
        <v>1</v>
      </c>
      <c r="F108">
        <v>5249.826</v>
      </c>
      <c r="G108">
        <v>5</v>
      </c>
      <c r="H108">
        <v>0</v>
      </c>
      <c r="I108">
        <v>0</v>
      </c>
      <c r="J108" t="str">
        <f t="shared" si="3"/>
        <v>no usage/demand</v>
      </c>
      <c r="K108">
        <f t="shared" si="4"/>
        <v>5</v>
      </c>
      <c r="L108" s="1">
        <f t="shared" si="5"/>
        <v>5249.8260000000009</v>
      </c>
    </row>
    <row r="109" spans="1:12" x14ac:dyDescent="0.35">
      <c r="A109" t="s">
        <v>193</v>
      </c>
      <c r="B109" t="s">
        <v>37</v>
      </c>
      <c r="C109" t="s">
        <v>194</v>
      </c>
      <c r="D109" t="s">
        <v>194</v>
      </c>
      <c r="E109">
        <v>2</v>
      </c>
      <c r="F109">
        <v>8202.8260000000009</v>
      </c>
      <c r="G109">
        <v>83</v>
      </c>
      <c r="H109">
        <v>0</v>
      </c>
      <c r="I109">
        <v>1.5</v>
      </c>
      <c r="J109">
        <f t="shared" si="3"/>
        <v>55.333333333333336</v>
      </c>
      <c r="K109">
        <f t="shared" si="4"/>
        <v>53</v>
      </c>
      <c r="L109" s="1">
        <f t="shared" si="5"/>
        <v>5237.9491325301215</v>
      </c>
    </row>
    <row r="110" spans="1:12" x14ac:dyDescent="0.35">
      <c r="A110" t="s">
        <v>195</v>
      </c>
      <c r="B110" t="s">
        <v>22</v>
      </c>
      <c r="C110" t="s">
        <v>23</v>
      </c>
      <c r="D110" t="s">
        <v>24</v>
      </c>
      <c r="E110">
        <v>2</v>
      </c>
      <c r="F110">
        <v>12114.0612</v>
      </c>
      <c r="G110">
        <v>456</v>
      </c>
      <c r="H110">
        <v>13</v>
      </c>
      <c r="I110">
        <v>12</v>
      </c>
      <c r="J110">
        <f t="shared" si="3"/>
        <v>35.07692307692308</v>
      </c>
      <c r="K110">
        <f t="shared" si="4"/>
        <v>196.00000000000006</v>
      </c>
      <c r="L110" s="1">
        <f t="shared" si="5"/>
        <v>5206.9210421052649</v>
      </c>
    </row>
    <row r="111" spans="1:12" x14ac:dyDescent="0.35">
      <c r="A111" t="s">
        <v>196</v>
      </c>
      <c r="B111" t="s">
        <v>22</v>
      </c>
      <c r="C111" t="s">
        <v>23</v>
      </c>
      <c r="D111" t="s">
        <v>24</v>
      </c>
      <c r="E111">
        <v>2</v>
      </c>
      <c r="F111">
        <v>6702.9480000000003</v>
      </c>
      <c r="G111">
        <v>4824</v>
      </c>
      <c r="H111">
        <v>56</v>
      </c>
      <c r="I111">
        <v>2.8</v>
      </c>
      <c r="J111">
        <f t="shared" si="3"/>
        <v>86.142857142857139</v>
      </c>
      <c r="K111">
        <f t="shared" si="4"/>
        <v>3704</v>
      </c>
      <c r="L111" s="1">
        <f t="shared" si="5"/>
        <v>5146.7079999999996</v>
      </c>
    </row>
    <row r="112" spans="1:12" x14ac:dyDescent="0.35">
      <c r="A112" t="s">
        <v>197</v>
      </c>
      <c r="B112" t="s">
        <v>16</v>
      </c>
      <c r="C112" t="s">
        <v>142</v>
      </c>
      <c r="D112" t="s">
        <v>142</v>
      </c>
      <c r="E112">
        <v>1</v>
      </c>
      <c r="F112">
        <v>6904.17</v>
      </c>
      <c r="G112">
        <v>78</v>
      </c>
      <c r="H112">
        <v>1</v>
      </c>
      <c r="I112">
        <v>0.8</v>
      </c>
      <c r="J112">
        <f t="shared" si="3"/>
        <v>78</v>
      </c>
      <c r="K112">
        <f t="shared" si="4"/>
        <v>58</v>
      </c>
      <c r="L112" s="1">
        <f t="shared" si="5"/>
        <v>5133.87</v>
      </c>
    </row>
    <row r="113" spans="1:12" x14ac:dyDescent="0.35">
      <c r="A113" t="s">
        <v>198</v>
      </c>
      <c r="B113" t="s">
        <v>22</v>
      </c>
      <c r="C113" t="s">
        <v>78</v>
      </c>
      <c r="D113" t="s">
        <v>199</v>
      </c>
      <c r="E113">
        <v>1</v>
      </c>
      <c r="F113">
        <v>5520.0312000000004</v>
      </c>
      <c r="G113">
        <v>2988</v>
      </c>
      <c r="H113">
        <v>11</v>
      </c>
      <c r="I113">
        <v>2.8</v>
      </c>
      <c r="J113">
        <f t="shared" si="3"/>
        <v>271.63636363636363</v>
      </c>
      <c r="K113">
        <f t="shared" si="4"/>
        <v>2768</v>
      </c>
      <c r="L113" s="1">
        <f t="shared" si="5"/>
        <v>5113.6032000000005</v>
      </c>
    </row>
    <row r="114" spans="1:12" x14ac:dyDescent="0.35">
      <c r="A114" t="s">
        <v>200</v>
      </c>
      <c r="B114" t="s">
        <v>43</v>
      </c>
      <c r="C114" t="s">
        <v>201</v>
      </c>
      <c r="D114" t="s">
        <v>201</v>
      </c>
      <c r="E114">
        <v>1</v>
      </c>
      <c r="F114">
        <v>5064.4229999999998</v>
      </c>
      <c r="G114">
        <v>13</v>
      </c>
      <c r="H114">
        <v>0</v>
      </c>
      <c r="I114">
        <v>0</v>
      </c>
      <c r="J114" t="str">
        <f t="shared" si="3"/>
        <v>no usage/demand</v>
      </c>
      <c r="K114">
        <f t="shared" si="4"/>
        <v>13</v>
      </c>
      <c r="L114" s="1">
        <f t="shared" si="5"/>
        <v>5064.4229999999998</v>
      </c>
    </row>
    <row r="115" spans="1:12" x14ac:dyDescent="0.35">
      <c r="A115" t="s">
        <v>132</v>
      </c>
      <c r="B115" t="s">
        <v>40</v>
      </c>
      <c r="C115" t="s">
        <v>124</v>
      </c>
      <c r="D115" t="s">
        <v>124</v>
      </c>
      <c r="E115">
        <v>1</v>
      </c>
      <c r="F115">
        <v>6075.2608</v>
      </c>
      <c r="G115">
        <v>112</v>
      </c>
      <c r="H115">
        <v>1</v>
      </c>
      <c r="I115">
        <v>0</v>
      </c>
      <c r="J115">
        <f t="shared" si="3"/>
        <v>112</v>
      </c>
      <c r="K115">
        <f t="shared" si="4"/>
        <v>92</v>
      </c>
      <c r="L115" s="1">
        <f t="shared" si="5"/>
        <v>4990.3928000000005</v>
      </c>
    </row>
    <row r="116" spans="1:12" x14ac:dyDescent="0.35">
      <c r="A116" t="s">
        <v>202</v>
      </c>
      <c r="B116" t="s">
        <v>37</v>
      </c>
      <c r="C116" t="s">
        <v>203</v>
      </c>
      <c r="D116" t="s">
        <v>203</v>
      </c>
      <c r="E116">
        <v>1</v>
      </c>
      <c r="F116">
        <v>6276.5207</v>
      </c>
      <c r="G116">
        <v>387.00000000000011</v>
      </c>
      <c r="H116">
        <v>0</v>
      </c>
      <c r="I116">
        <v>4.2</v>
      </c>
      <c r="J116">
        <f t="shared" si="3"/>
        <v>92.142857142857167</v>
      </c>
      <c r="K116">
        <f t="shared" si="4"/>
        <v>303.00000000000011</v>
      </c>
      <c r="L116" s="1">
        <f t="shared" si="5"/>
        <v>4914.175121705427</v>
      </c>
    </row>
    <row r="117" spans="1:12" x14ac:dyDescent="0.35">
      <c r="A117" t="s">
        <v>204</v>
      </c>
      <c r="B117" t="s">
        <v>110</v>
      </c>
      <c r="C117" t="s">
        <v>170</v>
      </c>
      <c r="D117" t="s">
        <v>205</v>
      </c>
      <c r="E117">
        <v>1</v>
      </c>
      <c r="F117">
        <v>12078.435600000001</v>
      </c>
      <c r="G117">
        <v>66</v>
      </c>
      <c r="H117">
        <v>2</v>
      </c>
      <c r="I117">
        <v>0.9</v>
      </c>
      <c r="J117">
        <f t="shared" si="3"/>
        <v>33</v>
      </c>
      <c r="K117">
        <f t="shared" si="4"/>
        <v>26</v>
      </c>
      <c r="L117" s="1">
        <f t="shared" si="5"/>
        <v>4758.1716000000006</v>
      </c>
    </row>
    <row r="118" spans="1:12" x14ac:dyDescent="0.35">
      <c r="A118" t="s">
        <v>206</v>
      </c>
      <c r="B118" t="s">
        <v>88</v>
      </c>
      <c r="C118" t="s">
        <v>89</v>
      </c>
      <c r="D118" t="s">
        <v>89</v>
      </c>
      <c r="E118">
        <v>1</v>
      </c>
      <c r="F118">
        <v>5926.4375</v>
      </c>
      <c r="G118">
        <v>552</v>
      </c>
      <c r="H118">
        <v>5</v>
      </c>
      <c r="I118">
        <v>5.5</v>
      </c>
      <c r="J118">
        <f t="shared" si="3"/>
        <v>100.36363636363636</v>
      </c>
      <c r="K118">
        <f t="shared" si="4"/>
        <v>442</v>
      </c>
      <c r="L118" s="1">
        <f t="shared" si="5"/>
        <v>4745.444519927536</v>
      </c>
    </row>
    <row r="119" spans="1:12" x14ac:dyDescent="0.35">
      <c r="A119" t="s">
        <v>207</v>
      </c>
      <c r="B119" t="s">
        <v>22</v>
      </c>
      <c r="C119" t="s">
        <v>53</v>
      </c>
      <c r="D119" t="s">
        <v>180</v>
      </c>
      <c r="E119">
        <v>2</v>
      </c>
      <c r="F119">
        <v>24394.497599999999</v>
      </c>
      <c r="G119">
        <v>2532</v>
      </c>
      <c r="H119">
        <v>102</v>
      </c>
      <c r="I119">
        <v>1</v>
      </c>
      <c r="J119">
        <f t="shared" si="3"/>
        <v>24.823529411764707</v>
      </c>
      <c r="K119">
        <f t="shared" si="4"/>
        <v>492.00000000000006</v>
      </c>
      <c r="L119" s="1">
        <f t="shared" si="5"/>
        <v>4740.1630407582943</v>
      </c>
    </row>
    <row r="120" spans="1:12" x14ac:dyDescent="0.35">
      <c r="A120" t="s">
        <v>208</v>
      </c>
      <c r="B120" t="s">
        <v>16</v>
      </c>
      <c r="C120" t="s">
        <v>142</v>
      </c>
      <c r="D120" t="s">
        <v>142</v>
      </c>
      <c r="E120">
        <v>1</v>
      </c>
      <c r="F120">
        <v>4897.62</v>
      </c>
      <c r="G120">
        <v>52</v>
      </c>
      <c r="H120">
        <v>0</v>
      </c>
      <c r="I120">
        <v>0.1</v>
      </c>
      <c r="J120">
        <f t="shared" si="3"/>
        <v>520</v>
      </c>
      <c r="K120">
        <f t="shared" si="4"/>
        <v>50</v>
      </c>
      <c r="L120" s="1">
        <f t="shared" si="5"/>
        <v>4709.25</v>
      </c>
    </row>
    <row r="121" spans="1:12" x14ac:dyDescent="0.35">
      <c r="A121" t="s">
        <v>209</v>
      </c>
      <c r="B121" t="s">
        <v>22</v>
      </c>
      <c r="C121" t="s">
        <v>53</v>
      </c>
      <c r="D121" t="s">
        <v>56</v>
      </c>
      <c r="E121">
        <v>1</v>
      </c>
      <c r="F121">
        <v>5235.1992</v>
      </c>
      <c r="G121">
        <v>7523.9999999999991</v>
      </c>
      <c r="H121">
        <v>0</v>
      </c>
      <c r="I121">
        <v>38.799999999999997</v>
      </c>
      <c r="J121">
        <f t="shared" si="3"/>
        <v>193.91752577319588</v>
      </c>
      <c r="K121">
        <f t="shared" si="4"/>
        <v>6747.9999999999991</v>
      </c>
      <c r="L121" s="1">
        <f t="shared" si="5"/>
        <v>4695.2583999999997</v>
      </c>
    </row>
    <row r="122" spans="1:12" x14ac:dyDescent="0.35">
      <c r="A122" t="s">
        <v>210</v>
      </c>
      <c r="B122" t="s">
        <v>22</v>
      </c>
      <c r="C122" t="s">
        <v>23</v>
      </c>
      <c r="D122" t="s">
        <v>24</v>
      </c>
      <c r="E122">
        <v>2</v>
      </c>
      <c r="F122">
        <v>12606.1116</v>
      </c>
      <c r="G122">
        <v>2094</v>
      </c>
      <c r="H122">
        <v>28</v>
      </c>
      <c r="I122">
        <v>66</v>
      </c>
      <c r="J122">
        <f t="shared" si="3"/>
        <v>31.727272727272727</v>
      </c>
      <c r="K122">
        <f t="shared" si="4"/>
        <v>774</v>
      </c>
      <c r="L122" s="1">
        <f t="shared" si="5"/>
        <v>4659.5656057306587</v>
      </c>
    </row>
    <row r="123" spans="1:12" x14ac:dyDescent="0.35">
      <c r="A123" t="s">
        <v>211</v>
      </c>
      <c r="B123" t="s">
        <v>22</v>
      </c>
      <c r="C123" t="s">
        <v>53</v>
      </c>
      <c r="D123" t="s">
        <v>54</v>
      </c>
      <c r="E123">
        <v>1</v>
      </c>
      <c r="F123">
        <v>4623.1559999999999</v>
      </c>
      <c r="G123">
        <v>540</v>
      </c>
      <c r="H123">
        <v>0</v>
      </c>
      <c r="I123">
        <v>0</v>
      </c>
      <c r="J123" t="str">
        <f t="shared" si="3"/>
        <v>no usage/demand</v>
      </c>
      <c r="K123">
        <f t="shared" si="4"/>
        <v>540</v>
      </c>
      <c r="L123" s="1">
        <f t="shared" si="5"/>
        <v>4623.1560000000009</v>
      </c>
    </row>
    <row r="124" spans="1:12" x14ac:dyDescent="0.35">
      <c r="A124" t="s">
        <v>212</v>
      </c>
      <c r="B124" t="s">
        <v>88</v>
      </c>
      <c r="C124" t="s">
        <v>213</v>
      </c>
      <c r="D124" t="s">
        <v>213</v>
      </c>
      <c r="E124">
        <v>1</v>
      </c>
      <c r="F124">
        <v>8151.48</v>
      </c>
      <c r="G124">
        <v>1200</v>
      </c>
      <c r="H124">
        <v>26</v>
      </c>
      <c r="I124">
        <v>12</v>
      </c>
      <c r="J124">
        <f t="shared" si="3"/>
        <v>46.153846153846153</v>
      </c>
      <c r="K124">
        <f t="shared" si="4"/>
        <v>680</v>
      </c>
      <c r="L124" s="1">
        <f t="shared" si="5"/>
        <v>4619.1719999999996</v>
      </c>
    </row>
    <row r="125" spans="1:12" x14ac:dyDescent="0.35">
      <c r="A125" t="s">
        <v>214</v>
      </c>
      <c r="B125" t="s">
        <v>22</v>
      </c>
      <c r="C125" t="s">
        <v>53</v>
      </c>
      <c r="D125" t="s">
        <v>180</v>
      </c>
      <c r="E125">
        <v>1</v>
      </c>
      <c r="F125">
        <v>4609.2695999999996</v>
      </c>
      <c r="G125">
        <v>312</v>
      </c>
      <c r="H125">
        <v>0</v>
      </c>
      <c r="I125">
        <v>0</v>
      </c>
      <c r="J125" t="str">
        <f t="shared" si="3"/>
        <v>no usage/demand</v>
      </c>
      <c r="K125">
        <f t="shared" si="4"/>
        <v>312</v>
      </c>
      <c r="L125" s="1">
        <f t="shared" si="5"/>
        <v>4609.2695999999996</v>
      </c>
    </row>
    <row r="126" spans="1:12" x14ac:dyDescent="0.35">
      <c r="A126" t="s">
        <v>215</v>
      </c>
      <c r="B126" t="s">
        <v>22</v>
      </c>
      <c r="C126" t="s">
        <v>34</v>
      </c>
      <c r="D126" t="s">
        <v>35</v>
      </c>
      <c r="E126">
        <v>2</v>
      </c>
      <c r="F126">
        <v>6419.9579999999996</v>
      </c>
      <c r="G126">
        <v>420</v>
      </c>
      <c r="H126">
        <v>6</v>
      </c>
      <c r="I126">
        <v>0</v>
      </c>
      <c r="J126">
        <f t="shared" si="3"/>
        <v>70</v>
      </c>
      <c r="K126">
        <f t="shared" si="4"/>
        <v>300</v>
      </c>
      <c r="L126" s="1">
        <f t="shared" si="5"/>
        <v>4585.6842857142856</v>
      </c>
    </row>
    <row r="127" spans="1:12" x14ac:dyDescent="0.35">
      <c r="A127" t="s">
        <v>216</v>
      </c>
      <c r="B127" t="s">
        <v>43</v>
      </c>
      <c r="C127" t="s">
        <v>51</v>
      </c>
      <c r="D127" t="s">
        <v>51</v>
      </c>
      <c r="E127">
        <v>1</v>
      </c>
      <c r="F127">
        <v>4585.6049999999996</v>
      </c>
      <c r="G127">
        <v>25</v>
      </c>
      <c r="H127">
        <v>0</v>
      </c>
      <c r="I127">
        <v>0</v>
      </c>
      <c r="J127" t="str">
        <f t="shared" si="3"/>
        <v>no usage/demand</v>
      </c>
      <c r="K127">
        <f t="shared" si="4"/>
        <v>25</v>
      </c>
      <c r="L127" s="1">
        <f t="shared" si="5"/>
        <v>4585.6049999999996</v>
      </c>
    </row>
    <row r="128" spans="1:12" x14ac:dyDescent="0.35">
      <c r="A128" t="s">
        <v>217</v>
      </c>
      <c r="B128" t="s">
        <v>110</v>
      </c>
      <c r="C128" t="s">
        <v>170</v>
      </c>
      <c r="D128" t="s">
        <v>205</v>
      </c>
      <c r="E128">
        <v>1</v>
      </c>
      <c r="F128">
        <v>10461.689</v>
      </c>
      <c r="G128">
        <v>35</v>
      </c>
      <c r="H128">
        <v>1</v>
      </c>
      <c r="I128">
        <v>0</v>
      </c>
      <c r="J128">
        <f t="shared" si="3"/>
        <v>35</v>
      </c>
      <c r="K128">
        <f t="shared" si="4"/>
        <v>15</v>
      </c>
      <c r="L128" s="1">
        <f t="shared" si="5"/>
        <v>4483.5810000000001</v>
      </c>
    </row>
    <row r="129" spans="1:12" x14ac:dyDescent="0.35">
      <c r="A129" t="s">
        <v>218</v>
      </c>
      <c r="B129" t="s">
        <v>43</v>
      </c>
      <c r="C129" t="s">
        <v>201</v>
      </c>
      <c r="D129" t="s">
        <v>201</v>
      </c>
      <c r="E129">
        <v>1</v>
      </c>
      <c r="F129">
        <v>5534.46</v>
      </c>
      <c r="G129">
        <v>20</v>
      </c>
      <c r="H129">
        <v>0</v>
      </c>
      <c r="I129">
        <v>0.2</v>
      </c>
      <c r="J129">
        <f t="shared" si="3"/>
        <v>100</v>
      </c>
      <c r="K129">
        <f t="shared" si="4"/>
        <v>16</v>
      </c>
      <c r="L129" s="1">
        <f t="shared" si="5"/>
        <v>4427.5680000000002</v>
      </c>
    </row>
    <row r="130" spans="1:12" x14ac:dyDescent="0.35">
      <c r="A130" t="s">
        <v>219</v>
      </c>
      <c r="B130" t="s">
        <v>43</v>
      </c>
      <c r="C130" t="s">
        <v>140</v>
      </c>
      <c r="D130" t="s">
        <v>140</v>
      </c>
      <c r="E130">
        <v>1</v>
      </c>
      <c r="F130">
        <v>5002.5798000000004</v>
      </c>
      <c r="G130">
        <v>34</v>
      </c>
      <c r="H130">
        <v>0</v>
      </c>
      <c r="I130">
        <v>0.2</v>
      </c>
      <c r="J130">
        <f t="shared" ref="J130:J193" si="6">IFERROR(G130/MAX(I130,H130),"no usage/demand")</f>
        <v>170</v>
      </c>
      <c r="K130">
        <f t="shared" ref="K130:K193" si="7">IFERROR(IF(J130="no usage/demand",G130,IF(J130&gt;20,(J130-20)*MAX(H130,I130),0)),"Check")</f>
        <v>30</v>
      </c>
      <c r="L130" s="1">
        <f t="shared" ref="L130:L193" si="8">IFERROR(F130/G130*K130,0)</f>
        <v>4414.0410000000002</v>
      </c>
    </row>
    <row r="131" spans="1:12" x14ac:dyDescent="0.35">
      <c r="A131" t="s">
        <v>220</v>
      </c>
      <c r="B131" t="s">
        <v>22</v>
      </c>
      <c r="C131" t="s">
        <v>78</v>
      </c>
      <c r="D131" t="s">
        <v>199</v>
      </c>
      <c r="E131">
        <v>2</v>
      </c>
      <c r="F131">
        <v>15716.836799999999</v>
      </c>
      <c r="G131">
        <v>4644</v>
      </c>
      <c r="H131">
        <v>167</v>
      </c>
      <c r="I131">
        <v>162.4</v>
      </c>
      <c r="J131">
        <f t="shared" si="6"/>
        <v>27.808383233532933</v>
      </c>
      <c r="K131">
        <f t="shared" si="7"/>
        <v>1303.9999999999998</v>
      </c>
      <c r="L131" s="1">
        <f t="shared" si="8"/>
        <v>4413.1686449612389</v>
      </c>
    </row>
    <row r="132" spans="1:12" x14ac:dyDescent="0.35">
      <c r="A132" t="s">
        <v>221</v>
      </c>
      <c r="B132" t="s">
        <v>22</v>
      </c>
      <c r="C132" t="s">
        <v>23</v>
      </c>
      <c r="D132" t="s">
        <v>24</v>
      </c>
      <c r="E132">
        <v>1</v>
      </c>
      <c r="F132">
        <v>4304.4480000000003</v>
      </c>
      <c r="G132">
        <v>1728</v>
      </c>
      <c r="H132">
        <v>0</v>
      </c>
      <c r="I132">
        <v>0</v>
      </c>
      <c r="J132" t="str">
        <f t="shared" si="6"/>
        <v>no usage/demand</v>
      </c>
      <c r="K132">
        <f t="shared" si="7"/>
        <v>1728</v>
      </c>
      <c r="L132" s="1">
        <f t="shared" si="8"/>
        <v>4304.4480000000003</v>
      </c>
    </row>
    <row r="133" spans="1:12" x14ac:dyDescent="0.35">
      <c r="A133" t="s">
        <v>222</v>
      </c>
      <c r="B133" t="s">
        <v>88</v>
      </c>
      <c r="C133" t="s">
        <v>89</v>
      </c>
      <c r="D133" t="s">
        <v>89</v>
      </c>
      <c r="E133">
        <v>2</v>
      </c>
      <c r="F133">
        <v>6289.9391999999998</v>
      </c>
      <c r="G133">
        <v>756</v>
      </c>
      <c r="H133">
        <v>7</v>
      </c>
      <c r="I133">
        <v>12</v>
      </c>
      <c r="J133">
        <f t="shared" si="6"/>
        <v>63</v>
      </c>
      <c r="K133">
        <f t="shared" si="7"/>
        <v>516</v>
      </c>
      <c r="L133" s="1">
        <f t="shared" si="8"/>
        <v>4293.1331047619051</v>
      </c>
    </row>
    <row r="134" spans="1:12" x14ac:dyDescent="0.35">
      <c r="A134" t="s">
        <v>223</v>
      </c>
      <c r="B134" t="s">
        <v>22</v>
      </c>
      <c r="C134" t="s">
        <v>23</v>
      </c>
      <c r="D134" t="s">
        <v>24</v>
      </c>
      <c r="E134">
        <v>1</v>
      </c>
      <c r="F134">
        <v>4616.8584000000001</v>
      </c>
      <c r="G134">
        <v>1032</v>
      </c>
      <c r="H134">
        <v>3</v>
      </c>
      <c r="I134">
        <v>3.7</v>
      </c>
      <c r="J134">
        <f t="shared" si="6"/>
        <v>278.91891891891891</v>
      </c>
      <c r="K134">
        <f t="shared" si="7"/>
        <v>958</v>
      </c>
      <c r="L134" s="1">
        <f t="shared" si="8"/>
        <v>4285.8046000000004</v>
      </c>
    </row>
    <row r="135" spans="1:12" x14ac:dyDescent="0.35">
      <c r="A135" t="s">
        <v>224</v>
      </c>
      <c r="B135" t="s">
        <v>22</v>
      </c>
      <c r="C135" t="s">
        <v>53</v>
      </c>
      <c r="D135" t="s">
        <v>180</v>
      </c>
      <c r="E135">
        <v>2</v>
      </c>
      <c r="F135">
        <v>5719.2660000000014</v>
      </c>
      <c r="G135">
        <v>5940</v>
      </c>
      <c r="H135">
        <v>75</v>
      </c>
      <c r="I135">
        <v>55.4</v>
      </c>
      <c r="J135">
        <f t="shared" si="6"/>
        <v>79.2</v>
      </c>
      <c r="K135">
        <f t="shared" si="7"/>
        <v>4440</v>
      </c>
      <c r="L135" s="1">
        <f t="shared" si="8"/>
        <v>4275.0069090909101</v>
      </c>
    </row>
    <row r="136" spans="1:12" x14ac:dyDescent="0.35">
      <c r="A136" t="s">
        <v>225</v>
      </c>
      <c r="B136" t="s">
        <v>22</v>
      </c>
      <c r="C136" t="s">
        <v>53</v>
      </c>
      <c r="D136" t="s">
        <v>54</v>
      </c>
      <c r="E136">
        <v>1</v>
      </c>
      <c r="F136">
        <v>23863.662</v>
      </c>
      <c r="G136">
        <v>14940</v>
      </c>
      <c r="H136">
        <v>615</v>
      </c>
      <c r="I136">
        <v>321.2</v>
      </c>
      <c r="J136">
        <f t="shared" si="6"/>
        <v>24.292682926829269</v>
      </c>
      <c r="K136">
        <f t="shared" si="7"/>
        <v>2640</v>
      </c>
      <c r="L136" s="1">
        <f t="shared" si="8"/>
        <v>4216.8720000000003</v>
      </c>
    </row>
    <row r="137" spans="1:12" x14ac:dyDescent="0.35">
      <c r="A137" t="s">
        <v>226</v>
      </c>
      <c r="B137" t="s">
        <v>161</v>
      </c>
      <c r="C137" t="s">
        <v>227</v>
      </c>
      <c r="D137" t="s">
        <v>228</v>
      </c>
      <c r="E137">
        <v>1</v>
      </c>
      <c r="F137">
        <v>4934.1095999999998</v>
      </c>
      <c r="G137">
        <v>378</v>
      </c>
      <c r="H137">
        <v>2</v>
      </c>
      <c r="I137">
        <v>2.8</v>
      </c>
      <c r="J137">
        <f t="shared" si="6"/>
        <v>135</v>
      </c>
      <c r="K137">
        <f t="shared" si="7"/>
        <v>322</v>
      </c>
      <c r="L137" s="1">
        <f t="shared" si="8"/>
        <v>4203.1303999999991</v>
      </c>
    </row>
    <row r="138" spans="1:12" x14ac:dyDescent="0.35">
      <c r="A138" t="s">
        <v>229</v>
      </c>
      <c r="B138" t="s">
        <v>37</v>
      </c>
      <c r="C138" t="s">
        <v>230</v>
      </c>
      <c r="D138" t="s">
        <v>230</v>
      </c>
      <c r="E138">
        <v>1</v>
      </c>
      <c r="F138">
        <v>7155.4943999999996</v>
      </c>
      <c r="G138">
        <v>496</v>
      </c>
      <c r="H138">
        <v>8</v>
      </c>
      <c r="I138">
        <v>10.3</v>
      </c>
      <c r="J138">
        <f t="shared" si="6"/>
        <v>48.155339805825243</v>
      </c>
      <c r="K138">
        <f t="shared" si="7"/>
        <v>290</v>
      </c>
      <c r="L138" s="1">
        <f t="shared" si="8"/>
        <v>4183.6559999999999</v>
      </c>
    </row>
    <row r="139" spans="1:12" x14ac:dyDescent="0.35">
      <c r="A139" t="s">
        <v>231</v>
      </c>
      <c r="B139" t="s">
        <v>22</v>
      </c>
      <c r="C139" t="s">
        <v>34</v>
      </c>
      <c r="D139" t="s">
        <v>35</v>
      </c>
      <c r="E139">
        <v>2</v>
      </c>
      <c r="F139">
        <v>5518.5227999999997</v>
      </c>
      <c r="G139">
        <v>5508</v>
      </c>
      <c r="H139">
        <v>49</v>
      </c>
      <c r="I139">
        <v>72</v>
      </c>
      <c r="J139">
        <f t="shared" si="6"/>
        <v>76.5</v>
      </c>
      <c r="K139">
        <f t="shared" si="7"/>
        <v>4068</v>
      </c>
      <c r="L139" s="1">
        <f t="shared" si="8"/>
        <v>4075.7717411764702</v>
      </c>
    </row>
    <row r="140" spans="1:12" x14ac:dyDescent="0.35">
      <c r="A140" t="s">
        <v>232</v>
      </c>
      <c r="B140" t="s">
        <v>22</v>
      </c>
      <c r="C140" t="s">
        <v>53</v>
      </c>
      <c r="D140" t="s">
        <v>54</v>
      </c>
      <c r="E140">
        <v>1</v>
      </c>
      <c r="F140">
        <v>15794.7731</v>
      </c>
      <c r="G140">
        <v>12708</v>
      </c>
      <c r="H140">
        <v>296</v>
      </c>
      <c r="I140">
        <v>473.5</v>
      </c>
      <c r="J140">
        <f t="shared" si="6"/>
        <v>26.838437170010561</v>
      </c>
      <c r="K140">
        <f t="shared" si="7"/>
        <v>3238.0000000000005</v>
      </c>
      <c r="L140" s="1">
        <f t="shared" si="8"/>
        <v>4024.5101745199881</v>
      </c>
    </row>
    <row r="141" spans="1:12" x14ac:dyDescent="0.35">
      <c r="A141" t="s">
        <v>233</v>
      </c>
      <c r="B141" t="s">
        <v>22</v>
      </c>
      <c r="C141" t="s">
        <v>23</v>
      </c>
      <c r="D141" t="s">
        <v>24</v>
      </c>
      <c r="E141">
        <v>2</v>
      </c>
      <c r="F141">
        <v>14469.9336</v>
      </c>
      <c r="G141">
        <v>10188</v>
      </c>
      <c r="H141">
        <v>140</v>
      </c>
      <c r="I141">
        <v>368.3</v>
      </c>
      <c r="J141">
        <f t="shared" si="6"/>
        <v>27.662231876187889</v>
      </c>
      <c r="K141">
        <f t="shared" si="7"/>
        <v>2821.9999999999995</v>
      </c>
      <c r="L141" s="1">
        <f t="shared" si="8"/>
        <v>4008.0636650176675</v>
      </c>
    </row>
    <row r="142" spans="1:12" x14ac:dyDescent="0.35">
      <c r="A142" t="s">
        <v>234</v>
      </c>
      <c r="B142" t="s">
        <v>37</v>
      </c>
      <c r="C142" t="s">
        <v>165</v>
      </c>
      <c r="D142" t="s">
        <v>165</v>
      </c>
      <c r="E142">
        <v>1</v>
      </c>
      <c r="F142">
        <v>6760.3123999999998</v>
      </c>
      <c r="G142">
        <v>375</v>
      </c>
      <c r="H142">
        <v>1</v>
      </c>
      <c r="I142">
        <v>7.7</v>
      </c>
      <c r="J142">
        <f t="shared" si="6"/>
        <v>48.701298701298697</v>
      </c>
      <c r="K142">
        <f t="shared" si="7"/>
        <v>220.99999999999997</v>
      </c>
      <c r="L142" s="1">
        <f t="shared" si="8"/>
        <v>3984.0774410666659</v>
      </c>
    </row>
    <row r="143" spans="1:12" x14ac:dyDescent="0.35">
      <c r="A143" t="s">
        <v>235</v>
      </c>
      <c r="B143" t="s">
        <v>43</v>
      </c>
      <c r="C143" t="s">
        <v>236</v>
      </c>
      <c r="D143" t="s">
        <v>236</v>
      </c>
      <c r="E143">
        <v>1</v>
      </c>
      <c r="F143">
        <v>3892.3278</v>
      </c>
      <c r="G143">
        <v>29</v>
      </c>
      <c r="H143">
        <v>0</v>
      </c>
      <c r="I143">
        <v>0</v>
      </c>
      <c r="J143" t="str">
        <f t="shared" si="6"/>
        <v>no usage/demand</v>
      </c>
      <c r="K143">
        <f t="shared" si="7"/>
        <v>29</v>
      </c>
      <c r="L143" s="1">
        <f t="shared" si="8"/>
        <v>3892.3278</v>
      </c>
    </row>
    <row r="144" spans="1:12" x14ac:dyDescent="0.35">
      <c r="A144" t="s">
        <v>237</v>
      </c>
      <c r="B144" t="s">
        <v>88</v>
      </c>
      <c r="C144" t="s">
        <v>89</v>
      </c>
      <c r="D144" t="s">
        <v>89</v>
      </c>
      <c r="E144">
        <v>2</v>
      </c>
      <c r="F144">
        <v>6532.1736000000001</v>
      </c>
      <c r="G144">
        <v>732</v>
      </c>
      <c r="H144">
        <v>15</v>
      </c>
      <c r="I144">
        <v>9.3000000000000007</v>
      </c>
      <c r="J144">
        <f t="shared" si="6"/>
        <v>48.8</v>
      </c>
      <c r="K144">
        <f t="shared" si="7"/>
        <v>431.99999999999994</v>
      </c>
      <c r="L144" s="1">
        <f t="shared" si="8"/>
        <v>3855.053272131147</v>
      </c>
    </row>
    <row r="145" spans="1:12" x14ac:dyDescent="0.35">
      <c r="A145" t="s">
        <v>238</v>
      </c>
      <c r="B145" t="s">
        <v>19</v>
      </c>
      <c r="C145" t="s">
        <v>239</v>
      </c>
      <c r="D145" t="s">
        <v>239</v>
      </c>
      <c r="E145">
        <v>1</v>
      </c>
      <c r="F145">
        <v>5456</v>
      </c>
      <c r="G145">
        <v>2480</v>
      </c>
      <c r="H145">
        <v>33</v>
      </c>
      <c r="I145">
        <v>36.9</v>
      </c>
      <c r="J145">
        <f t="shared" si="6"/>
        <v>67.208672086720867</v>
      </c>
      <c r="K145">
        <f t="shared" si="7"/>
        <v>1742</v>
      </c>
      <c r="L145" s="1">
        <f t="shared" si="8"/>
        <v>3832.4</v>
      </c>
    </row>
    <row r="146" spans="1:12" x14ac:dyDescent="0.35">
      <c r="A146" t="s">
        <v>240</v>
      </c>
      <c r="B146" t="s">
        <v>22</v>
      </c>
      <c r="C146" t="s">
        <v>23</v>
      </c>
      <c r="D146" t="s">
        <v>24</v>
      </c>
      <c r="E146">
        <v>1</v>
      </c>
      <c r="F146">
        <v>4876.7183999999997</v>
      </c>
      <c r="G146">
        <v>1296</v>
      </c>
      <c r="H146">
        <v>14</v>
      </c>
      <c r="I146">
        <v>8.3000000000000007</v>
      </c>
      <c r="J146">
        <f t="shared" si="6"/>
        <v>92.571428571428569</v>
      </c>
      <c r="K146">
        <f t="shared" si="7"/>
        <v>1016</v>
      </c>
      <c r="L146" s="1">
        <f t="shared" si="8"/>
        <v>3823.1063999999997</v>
      </c>
    </row>
    <row r="147" spans="1:12" x14ac:dyDescent="0.35">
      <c r="A147" t="s">
        <v>241</v>
      </c>
      <c r="B147" t="s">
        <v>16</v>
      </c>
      <c r="C147" t="s">
        <v>142</v>
      </c>
      <c r="D147" t="s">
        <v>142</v>
      </c>
      <c r="E147">
        <v>1</v>
      </c>
      <c r="F147">
        <v>5631.15</v>
      </c>
      <c r="G147">
        <v>62</v>
      </c>
      <c r="H147">
        <v>1</v>
      </c>
      <c r="I147">
        <v>0</v>
      </c>
      <c r="J147">
        <f t="shared" si="6"/>
        <v>62</v>
      </c>
      <c r="K147">
        <f t="shared" si="7"/>
        <v>42</v>
      </c>
      <c r="L147" s="1">
        <f t="shared" si="8"/>
        <v>3814.6499999999996</v>
      </c>
    </row>
    <row r="148" spans="1:12" x14ac:dyDescent="0.35">
      <c r="A148" t="s">
        <v>242</v>
      </c>
      <c r="B148" t="s">
        <v>22</v>
      </c>
      <c r="C148" t="s">
        <v>53</v>
      </c>
      <c r="D148" t="s">
        <v>54</v>
      </c>
      <c r="E148">
        <v>1</v>
      </c>
      <c r="F148">
        <v>4307.8824000000004</v>
      </c>
      <c r="G148">
        <v>1908</v>
      </c>
      <c r="H148">
        <v>0</v>
      </c>
      <c r="I148">
        <v>11.1</v>
      </c>
      <c r="J148">
        <f t="shared" si="6"/>
        <v>171.8918918918919</v>
      </c>
      <c r="K148">
        <f t="shared" si="7"/>
        <v>1686</v>
      </c>
      <c r="L148" s="1">
        <f t="shared" si="8"/>
        <v>3806.6507999999999</v>
      </c>
    </row>
    <row r="149" spans="1:12" x14ac:dyDescent="0.35">
      <c r="A149" t="s">
        <v>243</v>
      </c>
      <c r="B149" t="s">
        <v>22</v>
      </c>
      <c r="C149" t="s">
        <v>23</v>
      </c>
      <c r="D149" t="s">
        <v>244</v>
      </c>
      <c r="E149">
        <v>1</v>
      </c>
      <c r="F149">
        <v>7745.6940000000004</v>
      </c>
      <c r="G149">
        <v>2820</v>
      </c>
      <c r="H149">
        <v>46</v>
      </c>
      <c r="I149">
        <v>72.900000000000006</v>
      </c>
      <c r="J149">
        <f t="shared" si="6"/>
        <v>38.68312757201646</v>
      </c>
      <c r="K149">
        <f t="shared" si="7"/>
        <v>1362</v>
      </c>
      <c r="L149" s="1">
        <f t="shared" si="8"/>
        <v>3741.0054</v>
      </c>
    </row>
    <row r="150" spans="1:12" x14ac:dyDescent="0.35">
      <c r="A150" t="s">
        <v>245</v>
      </c>
      <c r="B150" t="s">
        <v>22</v>
      </c>
      <c r="C150" t="s">
        <v>53</v>
      </c>
      <c r="D150" t="s">
        <v>154</v>
      </c>
      <c r="E150">
        <v>1</v>
      </c>
      <c r="F150">
        <v>3706.1855999999998</v>
      </c>
      <c r="G150">
        <v>468</v>
      </c>
      <c r="H150">
        <v>0</v>
      </c>
      <c r="I150">
        <v>0</v>
      </c>
      <c r="J150" t="str">
        <f t="shared" si="6"/>
        <v>no usage/demand</v>
      </c>
      <c r="K150">
        <f t="shared" si="7"/>
        <v>468</v>
      </c>
      <c r="L150" s="1">
        <f t="shared" si="8"/>
        <v>3706.1855999999998</v>
      </c>
    </row>
    <row r="151" spans="1:12" x14ac:dyDescent="0.35">
      <c r="A151" t="s">
        <v>246</v>
      </c>
      <c r="B151" t="s">
        <v>37</v>
      </c>
      <c r="C151" t="s">
        <v>68</v>
      </c>
      <c r="D151" t="s">
        <v>68</v>
      </c>
      <c r="E151">
        <v>1</v>
      </c>
      <c r="F151">
        <v>3690.0803999999998</v>
      </c>
      <c r="G151">
        <v>996</v>
      </c>
      <c r="H151">
        <v>0</v>
      </c>
      <c r="I151">
        <v>0</v>
      </c>
      <c r="J151" t="str">
        <f t="shared" si="6"/>
        <v>no usage/demand</v>
      </c>
      <c r="K151">
        <f t="shared" si="7"/>
        <v>996</v>
      </c>
      <c r="L151" s="1">
        <f t="shared" si="8"/>
        <v>3690.0803999999998</v>
      </c>
    </row>
    <row r="152" spans="1:12" x14ac:dyDescent="0.35">
      <c r="A152" t="s">
        <v>247</v>
      </c>
      <c r="B152" t="s">
        <v>22</v>
      </c>
      <c r="C152" t="s">
        <v>53</v>
      </c>
      <c r="D152" t="s">
        <v>54</v>
      </c>
      <c r="E152">
        <v>2</v>
      </c>
      <c r="F152">
        <v>9450.8016000000007</v>
      </c>
      <c r="G152">
        <v>948</v>
      </c>
      <c r="H152">
        <v>29</v>
      </c>
      <c r="I152">
        <v>10.199999999999999</v>
      </c>
      <c r="J152">
        <f t="shared" si="6"/>
        <v>32.689655172413794</v>
      </c>
      <c r="K152">
        <f t="shared" si="7"/>
        <v>368</v>
      </c>
      <c r="L152" s="1">
        <f t="shared" si="8"/>
        <v>3668.6656000000003</v>
      </c>
    </row>
    <row r="153" spans="1:12" x14ac:dyDescent="0.35">
      <c r="A153" t="s">
        <v>248</v>
      </c>
      <c r="B153" t="s">
        <v>37</v>
      </c>
      <c r="C153" t="s">
        <v>75</v>
      </c>
      <c r="D153" t="s">
        <v>75</v>
      </c>
      <c r="E153">
        <v>1</v>
      </c>
      <c r="F153">
        <v>41030.361799999999</v>
      </c>
      <c r="G153">
        <v>1409</v>
      </c>
      <c r="H153">
        <v>1</v>
      </c>
      <c r="I153">
        <v>64.2</v>
      </c>
      <c r="J153">
        <f t="shared" si="6"/>
        <v>21.947040498442366</v>
      </c>
      <c r="K153">
        <f t="shared" si="7"/>
        <v>124.9999999999999</v>
      </c>
      <c r="L153" s="1">
        <f t="shared" si="8"/>
        <v>3640.0249999999974</v>
      </c>
    </row>
    <row r="154" spans="1:12" x14ac:dyDescent="0.35">
      <c r="A154" t="s">
        <v>249</v>
      </c>
      <c r="B154" t="s">
        <v>37</v>
      </c>
      <c r="C154" t="s">
        <v>103</v>
      </c>
      <c r="D154" t="s">
        <v>103</v>
      </c>
      <c r="E154">
        <v>1</v>
      </c>
      <c r="F154">
        <v>8073.3203999999996</v>
      </c>
      <c r="G154">
        <v>262</v>
      </c>
      <c r="H154">
        <v>1</v>
      </c>
      <c r="I154">
        <v>7.2</v>
      </c>
      <c r="J154">
        <f t="shared" si="6"/>
        <v>36.388888888888886</v>
      </c>
      <c r="K154">
        <f t="shared" si="7"/>
        <v>117.99999999999999</v>
      </c>
      <c r="L154" s="1">
        <f t="shared" si="8"/>
        <v>3636.0755999999997</v>
      </c>
    </row>
    <row r="155" spans="1:12" x14ac:dyDescent="0.35">
      <c r="A155" t="s">
        <v>250</v>
      </c>
      <c r="B155" t="s">
        <v>22</v>
      </c>
      <c r="C155" t="s">
        <v>23</v>
      </c>
      <c r="D155" t="s">
        <v>24</v>
      </c>
      <c r="E155">
        <v>1</v>
      </c>
      <c r="F155">
        <v>4548.3335999999999</v>
      </c>
      <c r="G155">
        <v>4644</v>
      </c>
      <c r="H155">
        <v>49</v>
      </c>
      <c r="I155">
        <v>38.799999999999997</v>
      </c>
      <c r="J155">
        <f t="shared" si="6"/>
        <v>94.775510204081627</v>
      </c>
      <c r="K155">
        <f t="shared" si="7"/>
        <v>3663.9999999999995</v>
      </c>
      <c r="L155" s="1">
        <f t="shared" si="8"/>
        <v>3588.5215999999991</v>
      </c>
    </row>
    <row r="156" spans="1:12" x14ac:dyDescent="0.35">
      <c r="A156" t="s">
        <v>251</v>
      </c>
      <c r="B156" t="s">
        <v>22</v>
      </c>
      <c r="C156" t="s">
        <v>23</v>
      </c>
      <c r="D156" t="s">
        <v>24</v>
      </c>
      <c r="E156">
        <v>1</v>
      </c>
      <c r="F156">
        <v>3567.0023999999999</v>
      </c>
      <c r="G156">
        <v>936</v>
      </c>
      <c r="H156">
        <v>0</v>
      </c>
      <c r="I156">
        <v>0</v>
      </c>
      <c r="J156" t="str">
        <f t="shared" si="6"/>
        <v>no usage/demand</v>
      </c>
      <c r="K156">
        <f t="shared" si="7"/>
        <v>936</v>
      </c>
      <c r="L156" s="1">
        <f t="shared" si="8"/>
        <v>3567.0023999999999</v>
      </c>
    </row>
    <row r="157" spans="1:12" x14ac:dyDescent="0.35">
      <c r="A157" t="s">
        <v>252</v>
      </c>
      <c r="B157" t="s">
        <v>37</v>
      </c>
      <c r="C157" t="s">
        <v>230</v>
      </c>
      <c r="D157" t="s">
        <v>230</v>
      </c>
      <c r="E157">
        <v>1</v>
      </c>
      <c r="F157">
        <v>13556.6585</v>
      </c>
      <c r="G157">
        <v>935</v>
      </c>
      <c r="H157">
        <v>25</v>
      </c>
      <c r="I157">
        <v>34.5</v>
      </c>
      <c r="J157">
        <f t="shared" si="6"/>
        <v>27.10144927536232</v>
      </c>
      <c r="K157">
        <f t="shared" si="7"/>
        <v>245.00000000000006</v>
      </c>
      <c r="L157" s="1">
        <f t="shared" si="8"/>
        <v>3552.279500000001</v>
      </c>
    </row>
    <row r="158" spans="1:12" x14ac:dyDescent="0.35">
      <c r="A158" t="s">
        <v>253</v>
      </c>
      <c r="B158" t="s">
        <v>16</v>
      </c>
      <c r="C158" t="s">
        <v>142</v>
      </c>
      <c r="D158" t="s">
        <v>142</v>
      </c>
      <c r="E158">
        <v>1</v>
      </c>
      <c r="F158">
        <v>3538.08</v>
      </c>
      <c r="G158">
        <v>32</v>
      </c>
      <c r="H158">
        <v>0</v>
      </c>
      <c r="I158">
        <v>0</v>
      </c>
      <c r="J158" t="str">
        <f t="shared" si="6"/>
        <v>no usage/demand</v>
      </c>
      <c r="K158">
        <f t="shared" si="7"/>
        <v>32</v>
      </c>
      <c r="L158" s="1">
        <f t="shared" si="8"/>
        <v>3538.08</v>
      </c>
    </row>
    <row r="159" spans="1:12" x14ac:dyDescent="0.35">
      <c r="A159" t="s">
        <v>254</v>
      </c>
      <c r="B159" t="s">
        <v>16</v>
      </c>
      <c r="C159" t="s">
        <v>142</v>
      </c>
      <c r="D159" t="s">
        <v>142</v>
      </c>
      <c r="E159">
        <v>1</v>
      </c>
      <c r="F159">
        <v>6742.68</v>
      </c>
      <c r="G159">
        <v>92</v>
      </c>
      <c r="H159">
        <v>1</v>
      </c>
      <c r="I159">
        <v>2.2000000000000002</v>
      </c>
      <c r="J159">
        <f t="shared" si="6"/>
        <v>41.818181818181813</v>
      </c>
      <c r="K159">
        <f t="shared" si="7"/>
        <v>47.999999999999993</v>
      </c>
      <c r="L159" s="1">
        <f t="shared" si="8"/>
        <v>3517.9199999999996</v>
      </c>
    </row>
    <row r="160" spans="1:12" x14ac:dyDescent="0.35">
      <c r="A160" t="s">
        <v>255</v>
      </c>
      <c r="B160" t="s">
        <v>22</v>
      </c>
      <c r="C160" t="s">
        <v>23</v>
      </c>
      <c r="D160" t="s">
        <v>24</v>
      </c>
      <c r="E160">
        <v>2</v>
      </c>
      <c r="F160">
        <v>4591.8827999999994</v>
      </c>
      <c r="G160">
        <v>2304</v>
      </c>
      <c r="H160">
        <v>0</v>
      </c>
      <c r="I160">
        <v>27.7</v>
      </c>
      <c r="J160">
        <f t="shared" si="6"/>
        <v>83.176895306859208</v>
      </c>
      <c r="K160">
        <f t="shared" si="7"/>
        <v>1750</v>
      </c>
      <c r="L160" s="1">
        <f t="shared" si="8"/>
        <v>3487.7582031249995</v>
      </c>
    </row>
    <row r="161" spans="1:12" x14ac:dyDescent="0.35">
      <c r="A161" t="s">
        <v>256</v>
      </c>
      <c r="B161" t="s">
        <v>16</v>
      </c>
      <c r="C161" t="s">
        <v>142</v>
      </c>
      <c r="D161" t="s">
        <v>142</v>
      </c>
      <c r="E161">
        <v>1</v>
      </c>
      <c r="F161">
        <v>3486.105</v>
      </c>
      <c r="G161">
        <v>31</v>
      </c>
      <c r="H161">
        <v>0</v>
      </c>
      <c r="I161">
        <v>0</v>
      </c>
      <c r="J161" t="str">
        <f t="shared" si="6"/>
        <v>no usage/demand</v>
      </c>
      <c r="K161">
        <f t="shared" si="7"/>
        <v>31</v>
      </c>
      <c r="L161" s="1">
        <f t="shared" si="8"/>
        <v>3486.105</v>
      </c>
    </row>
    <row r="162" spans="1:12" x14ac:dyDescent="0.35">
      <c r="A162" t="s">
        <v>257</v>
      </c>
      <c r="B162" t="s">
        <v>22</v>
      </c>
      <c r="C162" t="s">
        <v>34</v>
      </c>
      <c r="D162" t="s">
        <v>35</v>
      </c>
      <c r="E162">
        <v>2</v>
      </c>
      <c r="F162">
        <v>5633.9315999999999</v>
      </c>
      <c r="G162">
        <v>5148</v>
      </c>
      <c r="H162">
        <v>68</v>
      </c>
      <c r="I162">
        <v>99.7</v>
      </c>
      <c r="J162">
        <f t="shared" si="6"/>
        <v>51.634904714142429</v>
      </c>
      <c r="K162">
        <f t="shared" si="7"/>
        <v>3154.0000000000005</v>
      </c>
      <c r="L162" s="1">
        <f t="shared" si="8"/>
        <v>3451.713338461539</v>
      </c>
    </row>
    <row r="163" spans="1:12" x14ac:dyDescent="0.35">
      <c r="A163" t="s">
        <v>258</v>
      </c>
      <c r="B163" t="s">
        <v>37</v>
      </c>
      <c r="C163" t="s">
        <v>68</v>
      </c>
      <c r="D163" t="s">
        <v>68</v>
      </c>
      <c r="E163">
        <v>1</v>
      </c>
      <c r="F163">
        <v>3690.0859999999998</v>
      </c>
      <c r="G163">
        <v>545</v>
      </c>
      <c r="H163">
        <v>2</v>
      </c>
      <c r="I163">
        <v>2.4</v>
      </c>
      <c r="J163">
        <f t="shared" si="6"/>
        <v>227.08333333333334</v>
      </c>
      <c r="K163">
        <f t="shared" si="7"/>
        <v>497</v>
      </c>
      <c r="L163" s="1">
        <f t="shared" si="8"/>
        <v>3365.0875999999998</v>
      </c>
    </row>
    <row r="164" spans="1:12" x14ac:dyDescent="0.35">
      <c r="A164" t="s">
        <v>70</v>
      </c>
      <c r="B164" t="s">
        <v>40</v>
      </c>
      <c r="C164" t="s">
        <v>41</v>
      </c>
      <c r="D164" t="s">
        <v>41</v>
      </c>
      <c r="E164">
        <v>1</v>
      </c>
      <c r="F164">
        <v>12252.9241</v>
      </c>
      <c r="G164">
        <v>22</v>
      </c>
      <c r="H164">
        <v>0</v>
      </c>
      <c r="I164">
        <v>0.8</v>
      </c>
      <c r="J164">
        <f t="shared" si="6"/>
        <v>27.5</v>
      </c>
      <c r="K164">
        <f t="shared" si="7"/>
        <v>6</v>
      </c>
      <c r="L164" s="1">
        <f t="shared" si="8"/>
        <v>3341.7065727272729</v>
      </c>
    </row>
    <row r="165" spans="1:12" x14ac:dyDescent="0.35">
      <c r="A165" t="s">
        <v>259</v>
      </c>
      <c r="B165" t="s">
        <v>16</v>
      </c>
      <c r="C165" t="s">
        <v>84</v>
      </c>
      <c r="D165" t="s">
        <v>84</v>
      </c>
      <c r="E165">
        <v>1</v>
      </c>
      <c r="F165">
        <v>4354.3500000000004</v>
      </c>
      <c r="G165">
        <v>145</v>
      </c>
      <c r="H165">
        <v>0</v>
      </c>
      <c r="I165">
        <v>1.7</v>
      </c>
      <c r="J165">
        <f t="shared" si="6"/>
        <v>85.294117647058826</v>
      </c>
      <c r="K165">
        <f t="shared" si="7"/>
        <v>111</v>
      </c>
      <c r="L165" s="1">
        <f t="shared" si="8"/>
        <v>3333.33</v>
      </c>
    </row>
    <row r="166" spans="1:12" x14ac:dyDescent="0.35">
      <c r="A166" t="s">
        <v>260</v>
      </c>
      <c r="B166" t="s">
        <v>22</v>
      </c>
      <c r="C166" t="s">
        <v>23</v>
      </c>
      <c r="D166" t="s">
        <v>24</v>
      </c>
      <c r="E166">
        <v>1</v>
      </c>
      <c r="F166">
        <v>4215.4560000000001</v>
      </c>
      <c r="G166">
        <v>3672</v>
      </c>
      <c r="H166">
        <v>39</v>
      </c>
      <c r="I166">
        <v>19.399999999999999</v>
      </c>
      <c r="J166">
        <f t="shared" si="6"/>
        <v>94.15384615384616</v>
      </c>
      <c r="K166">
        <f t="shared" si="7"/>
        <v>2892.0000000000005</v>
      </c>
      <c r="L166" s="1">
        <f t="shared" si="8"/>
        <v>3320.016000000001</v>
      </c>
    </row>
    <row r="167" spans="1:12" x14ac:dyDescent="0.35">
      <c r="A167" t="s">
        <v>261</v>
      </c>
      <c r="B167" t="s">
        <v>16</v>
      </c>
      <c r="C167" t="s">
        <v>142</v>
      </c>
      <c r="D167" t="s">
        <v>142</v>
      </c>
      <c r="E167">
        <v>1</v>
      </c>
      <c r="F167">
        <v>3509.31</v>
      </c>
      <c r="G167">
        <v>34</v>
      </c>
      <c r="H167">
        <v>0</v>
      </c>
      <c r="I167">
        <v>0.1</v>
      </c>
      <c r="J167">
        <f t="shared" si="6"/>
        <v>340</v>
      </c>
      <c r="K167">
        <f t="shared" si="7"/>
        <v>32</v>
      </c>
      <c r="L167" s="1">
        <f t="shared" si="8"/>
        <v>3302.88</v>
      </c>
    </row>
    <row r="168" spans="1:12" x14ac:dyDescent="0.35">
      <c r="A168" t="s">
        <v>262</v>
      </c>
      <c r="B168" t="s">
        <v>110</v>
      </c>
      <c r="C168" t="s">
        <v>170</v>
      </c>
      <c r="D168" t="s">
        <v>263</v>
      </c>
      <c r="E168">
        <v>1</v>
      </c>
      <c r="F168">
        <v>6045.8</v>
      </c>
      <c r="G168">
        <v>215</v>
      </c>
      <c r="H168">
        <v>5</v>
      </c>
      <c r="I168">
        <v>3.8</v>
      </c>
      <c r="J168">
        <f t="shared" si="6"/>
        <v>43</v>
      </c>
      <c r="K168">
        <f t="shared" si="7"/>
        <v>115</v>
      </c>
      <c r="L168" s="1">
        <f t="shared" si="8"/>
        <v>3233.8</v>
      </c>
    </row>
    <row r="169" spans="1:12" x14ac:dyDescent="0.35">
      <c r="A169" t="s">
        <v>264</v>
      </c>
      <c r="B169" t="s">
        <v>16</v>
      </c>
      <c r="C169" t="s">
        <v>142</v>
      </c>
      <c r="D169" t="s">
        <v>142</v>
      </c>
      <c r="E169">
        <v>1</v>
      </c>
      <c r="F169">
        <v>3648.54</v>
      </c>
      <c r="G169">
        <v>34</v>
      </c>
      <c r="H169">
        <v>0</v>
      </c>
      <c r="I169">
        <v>0.2</v>
      </c>
      <c r="J169">
        <f t="shared" si="6"/>
        <v>170</v>
      </c>
      <c r="K169">
        <f t="shared" si="7"/>
        <v>30</v>
      </c>
      <c r="L169" s="1">
        <f t="shared" si="8"/>
        <v>3219.3</v>
      </c>
    </row>
    <row r="170" spans="1:12" x14ac:dyDescent="0.35">
      <c r="A170" t="s">
        <v>265</v>
      </c>
      <c r="B170" t="s">
        <v>22</v>
      </c>
      <c r="C170" t="s">
        <v>23</v>
      </c>
      <c r="D170" t="s">
        <v>244</v>
      </c>
      <c r="E170">
        <v>1</v>
      </c>
      <c r="F170">
        <v>3429.864</v>
      </c>
      <c r="G170">
        <v>1620</v>
      </c>
      <c r="H170">
        <v>0</v>
      </c>
      <c r="I170">
        <v>5.5</v>
      </c>
      <c r="J170">
        <f t="shared" si="6"/>
        <v>294.54545454545456</v>
      </c>
      <c r="K170">
        <f t="shared" si="7"/>
        <v>1510</v>
      </c>
      <c r="L170" s="1">
        <f t="shared" si="8"/>
        <v>3196.9719999999998</v>
      </c>
    </row>
    <row r="171" spans="1:12" x14ac:dyDescent="0.35">
      <c r="A171" t="s">
        <v>266</v>
      </c>
      <c r="B171" t="s">
        <v>22</v>
      </c>
      <c r="C171" t="s">
        <v>34</v>
      </c>
      <c r="D171" t="s">
        <v>96</v>
      </c>
      <c r="E171">
        <v>2</v>
      </c>
      <c r="F171">
        <v>10239.102000000001</v>
      </c>
      <c r="G171">
        <v>14004</v>
      </c>
      <c r="H171">
        <v>483</v>
      </c>
      <c r="I171">
        <v>310.10000000000002</v>
      </c>
      <c r="J171">
        <f t="shared" si="6"/>
        <v>28.993788819875775</v>
      </c>
      <c r="K171">
        <f t="shared" si="7"/>
        <v>4343.9999999999991</v>
      </c>
      <c r="L171" s="1">
        <f t="shared" si="8"/>
        <v>3176.1396092544978</v>
      </c>
    </row>
    <row r="172" spans="1:12" x14ac:dyDescent="0.35">
      <c r="A172" t="s">
        <v>267</v>
      </c>
      <c r="B172" t="s">
        <v>16</v>
      </c>
      <c r="C172" t="s">
        <v>142</v>
      </c>
      <c r="D172" t="s">
        <v>142</v>
      </c>
      <c r="E172">
        <v>1</v>
      </c>
      <c r="F172">
        <v>4991.8050000000003</v>
      </c>
      <c r="G172">
        <v>53</v>
      </c>
      <c r="H172">
        <v>1</v>
      </c>
      <c r="I172">
        <v>0.1</v>
      </c>
      <c r="J172">
        <f t="shared" si="6"/>
        <v>53</v>
      </c>
      <c r="K172">
        <f t="shared" si="7"/>
        <v>33</v>
      </c>
      <c r="L172" s="1">
        <f t="shared" si="8"/>
        <v>3108.105</v>
      </c>
    </row>
    <row r="173" spans="1:12" x14ac:dyDescent="0.35">
      <c r="A173" t="s">
        <v>268</v>
      </c>
      <c r="B173" t="s">
        <v>22</v>
      </c>
      <c r="C173" t="s">
        <v>23</v>
      </c>
      <c r="D173" t="s">
        <v>24</v>
      </c>
      <c r="E173">
        <v>1</v>
      </c>
      <c r="F173">
        <v>3103.5</v>
      </c>
      <c r="G173">
        <v>600</v>
      </c>
      <c r="H173">
        <v>0</v>
      </c>
      <c r="I173">
        <v>0</v>
      </c>
      <c r="J173" t="str">
        <f t="shared" si="6"/>
        <v>no usage/demand</v>
      </c>
      <c r="K173">
        <f t="shared" si="7"/>
        <v>600</v>
      </c>
      <c r="L173" s="1">
        <f t="shared" si="8"/>
        <v>3103.5</v>
      </c>
    </row>
    <row r="174" spans="1:12" x14ac:dyDescent="0.35">
      <c r="A174" t="s">
        <v>269</v>
      </c>
      <c r="B174" t="s">
        <v>22</v>
      </c>
      <c r="C174" t="s">
        <v>34</v>
      </c>
      <c r="D174" t="s">
        <v>61</v>
      </c>
      <c r="E174">
        <v>1</v>
      </c>
      <c r="F174">
        <v>3094.0704000000001</v>
      </c>
      <c r="G174">
        <v>3888</v>
      </c>
      <c r="H174">
        <v>0</v>
      </c>
      <c r="I174">
        <v>0</v>
      </c>
      <c r="J174" t="str">
        <f t="shared" si="6"/>
        <v>no usage/demand</v>
      </c>
      <c r="K174">
        <f t="shared" si="7"/>
        <v>3888</v>
      </c>
      <c r="L174" s="1">
        <f t="shared" si="8"/>
        <v>3094.0704000000001</v>
      </c>
    </row>
    <row r="175" spans="1:12" x14ac:dyDescent="0.35">
      <c r="A175" t="s">
        <v>270</v>
      </c>
      <c r="B175" t="s">
        <v>16</v>
      </c>
      <c r="C175" t="s">
        <v>142</v>
      </c>
      <c r="D175" t="s">
        <v>142</v>
      </c>
      <c r="E175">
        <v>1</v>
      </c>
      <c r="F175">
        <v>3677.94</v>
      </c>
      <c r="G175">
        <v>36</v>
      </c>
      <c r="H175">
        <v>0</v>
      </c>
      <c r="I175">
        <v>0.3</v>
      </c>
      <c r="J175">
        <f t="shared" si="6"/>
        <v>120</v>
      </c>
      <c r="K175">
        <f t="shared" si="7"/>
        <v>30</v>
      </c>
      <c r="L175" s="1">
        <f t="shared" si="8"/>
        <v>3064.9500000000003</v>
      </c>
    </row>
    <row r="176" spans="1:12" x14ac:dyDescent="0.35">
      <c r="A176" t="s">
        <v>271</v>
      </c>
      <c r="B176" t="s">
        <v>22</v>
      </c>
      <c r="C176" t="s">
        <v>53</v>
      </c>
      <c r="D176" t="s">
        <v>54</v>
      </c>
      <c r="E176">
        <v>1</v>
      </c>
      <c r="F176">
        <v>3569.94</v>
      </c>
      <c r="G176">
        <v>1800</v>
      </c>
      <c r="H176">
        <v>9</v>
      </c>
      <c r="I176">
        <v>13.8</v>
      </c>
      <c r="J176">
        <f t="shared" si="6"/>
        <v>130.43478260869566</v>
      </c>
      <c r="K176">
        <f t="shared" si="7"/>
        <v>1524.0000000000002</v>
      </c>
      <c r="L176" s="1">
        <f t="shared" si="8"/>
        <v>3022.5492000000004</v>
      </c>
    </row>
    <row r="177" spans="1:12" x14ac:dyDescent="0.35">
      <c r="A177" t="s">
        <v>272</v>
      </c>
      <c r="B177" t="s">
        <v>16</v>
      </c>
      <c r="C177" t="s">
        <v>142</v>
      </c>
      <c r="D177" t="s">
        <v>142</v>
      </c>
      <c r="E177">
        <v>1</v>
      </c>
      <c r="F177">
        <v>3013.92</v>
      </c>
      <c r="G177">
        <v>23</v>
      </c>
      <c r="H177">
        <v>0</v>
      </c>
      <c r="I177">
        <v>0</v>
      </c>
      <c r="J177" t="str">
        <f t="shared" si="6"/>
        <v>no usage/demand</v>
      </c>
      <c r="K177">
        <f t="shared" si="7"/>
        <v>23</v>
      </c>
      <c r="L177" s="1">
        <f t="shared" si="8"/>
        <v>3013.9199999999996</v>
      </c>
    </row>
    <row r="178" spans="1:12" x14ac:dyDescent="0.35">
      <c r="A178" t="s">
        <v>273</v>
      </c>
      <c r="B178" t="s">
        <v>22</v>
      </c>
      <c r="C178" t="s">
        <v>274</v>
      </c>
      <c r="D178" t="s">
        <v>275</v>
      </c>
      <c r="E178">
        <v>1</v>
      </c>
      <c r="F178">
        <v>3257.3494999999998</v>
      </c>
      <c r="G178">
        <v>696</v>
      </c>
      <c r="H178">
        <v>0</v>
      </c>
      <c r="I178">
        <v>2.8</v>
      </c>
      <c r="J178">
        <f t="shared" si="6"/>
        <v>248.57142857142858</v>
      </c>
      <c r="K178">
        <f t="shared" si="7"/>
        <v>640</v>
      </c>
      <c r="L178" s="1">
        <f t="shared" si="8"/>
        <v>2995.2639080459767</v>
      </c>
    </row>
    <row r="179" spans="1:12" x14ac:dyDescent="0.35">
      <c r="A179" t="s">
        <v>276</v>
      </c>
      <c r="B179" t="s">
        <v>16</v>
      </c>
      <c r="C179" t="s">
        <v>144</v>
      </c>
      <c r="D179" t="s">
        <v>144</v>
      </c>
      <c r="E179">
        <v>1</v>
      </c>
      <c r="F179">
        <v>7916.16</v>
      </c>
      <c r="G179">
        <v>13300</v>
      </c>
      <c r="H179">
        <v>276</v>
      </c>
      <c r="I179">
        <v>415.4</v>
      </c>
      <c r="J179">
        <f t="shared" si="6"/>
        <v>32.017332691381803</v>
      </c>
      <c r="K179">
        <f t="shared" si="7"/>
        <v>4992.0000000000009</v>
      </c>
      <c r="L179" s="1">
        <f t="shared" si="8"/>
        <v>2971.2384000000002</v>
      </c>
    </row>
    <row r="180" spans="1:12" x14ac:dyDescent="0.35">
      <c r="A180" t="s">
        <v>277</v>
      </c>
      <c r="B180" t="s">
        <v>22</v>
      </c>
      <c r="C180" t="s">
        <v>23</v>
      </c>
      <c r="D180" t="s">
        <v>24</v>
      </c>
      <c r="E180">
        <v>1</v>
      </c>
      <c r="F180">
        <v>17702.1024</v>
      </c>
      <c r="G180">
        <v>5856</v>
      </c>
      <c r="H180">
        <v>216</v>
      </c>
      <c r="I180">
        <v>243.7</v>
      </c>
      <c r="J180">
        <f t="shared" si="6"/>
        <v>24.029544521953223</v>
      </c>
      <c r="K180">
        <f t="shared" si="7"/>
        <v>982.00000000000045</v>
      </c>
      <c r="L180" s="1">
        <f t="shared" si="8"/>
        <v>2968.4878000000012</v>
      </c>
    </row>
    <row r="181" spans="1:12" x14ac:dyDescent="0.35">
      <c r="A181" t="s">
        <v>278</v>
      </c>
      <c r="B181" t="s">
        <v>16</v>
      </c>
      <c r="C181" t="s">
        <v>142</v>
      </c>
      <c r="D181" t="s">
        <v>142</v>
      </c>
      <c r="E181">
        <v>1</v>
      </c>
      <c r="F181">
        <v>2966.67</v>
      </c>
      <c r="G181">
        <v>34</v>
      </c>
      <c r="H181">
        <v>0</v>
      </c>
      <c r="I181">
        <v>0</v>
      </c>
      <c r="J181" t="str">
        <f t="shared" si="6"/>
        <v>no usage/demand</v>
      </c>
      <c r="K181">
        <f t="shared" si="7"/>
        <v>34</v>
      </c>
      <c r="L181" s="1">
        <f t="shared" si="8"/>
        <v>2966.67</v>
      </c>
    </row>
    <row r="182" spans="1:12" x14ac:dyDescent="0.35">
      <c r="A182" t="s">
        <v>279</v>
      </c>
      <c r="B182" t="s">
        <v>37</v>
      </c>
      <c r="C182" t="s">
        <v>103</v>
      </c>
      <c r="D182" t="s">
        <v>103</v>
      </c>
      <c r="E182">
        <v>2</v>
      </c>
      <c r="F182">
        <v>2956.1984000000002</v>
      </c>
      <c r="G182">
        <v>96</v>
      </c>
      <c r="H182">
        <v>0</v>
      </c>
      <c r="I182">
        <v>0</v>
      </c>
      <c r="J182" t="str">
        <f t="shared" si="6"/>
        <v>no usage/demand</v>
      </c>
      <c r="K182">
        <f t="shared" si="7"/>
        <v>96</v>
      </c>
      <c r="L182" s="1">
        <f t="shared" si="8"/>
        <v>2956.1984000000002</v>
      </c>
    </row>
    <row r="183" spans="1:12" x14ac:dyDescent="0.35">
      <c r="A183" t="s">
        <v>280</v>
      </c>
      <c r="B183" t="s">
        <v>43</v>
      </c>
      <c r="C183" t="s">
        <v>281</v>
      </c>
      <c r="D183" t="s">
        <v>281</v>
      </c>
      <c r="E183">
        <v>1</v>
      </c>
      <c r="F183">
        <v>3003.7478000000001</v>
      </c>
      <c r="G183">
        <v>206</v>
      </c>
      <c r="H183">
        <v>0</v>
      </c>
      <c r="I183">
        <v>0.2</v>
      </c>
      <c r="J183">
        <f t="shared" si="6"/>
        <v>1030</v>
      </c>
      <c r="K183">
        <f t="shared" si="7"/>
        <v>202</v>
      </c>
      <c r="L183" s="1">
        <f t="shared" si="8"/>
        <v>2945.4226000000003</v>
      </c>
    </row>
    <row r="184" spans="1:12" x14ac:dyDescent="0.35">
      <c r="A184" t="s">
        <v>282</v>
      </c>
      <c r="B184" t="s">
        <v>22</v>
      </c>
      <c r="C184" t="s">
        <v>23</v>
      </c>
      <c r="D184" t="s">
        <v>24</v>
      </c>
      <c r="E184">
        <v>2</v>
      </c>
      <c r="F184">
        <v>4346.3087999999998</v>
      </c>
      <c r="G184">
        <v>3564</v>
      </c>
      <c r="H184">
        <v>58</v>
      </c>
      <c r="I184">
        <v>52.6</v>
      </c>
      <c r="J184">
        <f t="shared" si="6"/>
        <v>61.448275862068968</v>
      </c>
      <c r="K184">
        <f t="shared" si="7"/>
        <v>2404</v>
      </c>
      <c r="L184" s="1">
        <f t="shared" si="8"/>
        <v>2931.685284848485</v>
      </c>
    </row>
    <row r="185" spans="1:12" x14ac:dyDescent="0.35">
      <c r="A185" t="s">
        <v>283</v>
      </c>
      <c r="B185" t="s">
        <v>22</v>
      </c>
      <c r="C185" t="s">
        <v>53</v>
      </c>
      <c r="D185" t="s">
        <v>180</v>
      </c>
      <c r="E185">
        <v>2</v>
      </c>
      <c r="F185">
        <v>2917.308</v>
      </c>
      <c r="G185">
        <v>240</v>
      </c>
      <c r="H185">
        <v>0</v>
      </c>
      <c r="I185">
        <v>0</v>
      </c>
      <c r="J185" t="str">
        <f t="shared" si="6"/>
        <v>no usage/demand</v>
      </c>
      <c r="K185">
        <f t="shared" si="7"/>
        <v>240</v>
      </c>
      <c r="L185" s="1">
        <f t="shared" si="8"/>
        <v>2917.308</v>
      </c>
    </row>
    <row r="186" spans="1:12" x14ac:dyDescent="0.35">
      <c r="A186" t="s">
        <v>284</v>
      </c>
      <c r="B186" t="s">
        <v>22</v>
      </c>
      <c r="C186" t="s">
        <v>23</v>
      </c>
      <c r="D186" t="s">
        <v>244</v>
      </c>
      <c r="E186">
        <v>1</v>
      </c>
      <c r="F186">
        <v>3626.1107999999999</v>
      </c>
      <c r="G186">
        <v>1404</v>
      </c>
      <c r="H186">
        <v>12</v>
      </c>
      <c r="I186">
        <v>13.8</v>
      </c>
      <c r="J186">
        <f t="shared" si="6"/>
        <v>101.73913043478261</v>
      </c>
      <c r="K186">
        <f t="shared" si="7"/>
        <v>1128</v>
      </c>
      <c r="L186" s="1">
        <f t="shared" si="8"/>
        <v>2913.2856000000002</v>
      </c>
    </row>
    <row r="187" spans="1:12" x14ac:dyDescent="0.35">
      <c r="A187" t="s">
        <v>285</v>
      </c>
      <c r="B187" t="s">
        <v>110</v>
      </c>
      <c r="C187" t="s">
        <v>170</v>
      </c>
      <c r="D187" t="s">
        <v>192</v>
      </c>
      <c r="E187">
        <v>1</v>
      </c>
      <c r="F187">
        <v>2852.9450000000002</v>
      </c>
      <c r="G187">
        <v>1</v>
      </c>
      <c r="H187">
        <v>0</v>
      </c>
      <c r="I187">
        <v>0</v>
      </c>
      <c r="J187" t="str">
        <f t="shared" si="6"/>
        <v>no usage/demand</v>
      </c>
      <c r="K187">
        <f t="shared" si="7"/>
        <v>1</v>
      </c>
      <c r="L187" s="1">
        <f t="shared" si="8"/>
        <v>2852.9450000000002</v>
      </c>
    </row>
    <row r="188" spans="1:12" x14ac:dyDescent="0.35">
      <c r="A188" t="s">
        <v>286</v>
      </c>
      <c r="B188" t="s">
        <v>22</v>
      </c>
      <c r="C188" t="s">
        <v>23</v>
      </c>
      <c r="D188" t="s">
        <v>24</v>
      </c>
      <c r="E188">
        <v>2</v>
      </c>
      <c r="F188">
        <v>3357.7487999999998</v>
      </c>
      <c r="G188">
        <v>1152</v>
      </c>
      <c r="H188">
        <v>9</v>
      </c>
      <c r="I188">
        <v>0</v>
      </c>
      <c r="J188">
        <f t="shared" si="6"/>
        <v>128</v>
      </c>
      <c r="K188">
        <f t="shared" si="7"/>
        <v>972</v>
      </c>
      <c r="L188" s="1">
        <f t="shared" si="8"/>
        <v>2833.1005499999997</v>
      </c>
    </row>
    <row r="189" spans="1:12" x14ac:dyDescent="0.35">
      <c r="A189" t="s">
        <v>287</v>
      </c>
      <c r="B189" t="s">
        <v>16</v>
      </c>
      <c r="C189" t="s">
        <v>142</v>
      </c>
      <c r="D189" t="s">
        <v>142</v>
      </c>
      <c r="E189">
        <v>1</v>
      </c>
      <c r="F189">
        <v>3014.55</v>
      </c>
      <c r="G189">
        <v>33</v>
      </c>
      <c r="H189">
        <v>0</v>
      </c>
      <c r="I189">
        <v>0.1</v>
      </c>
      <c r="J189">
        <f t="shared" si="6"/>
        <v>330</v>
      </c>
      <c r="K189">
        <f t="shared" si="7"/>
        <v>31</v>
      </c>
      <c r="L189" s="1">
        <f t="shared" si="8"/>
        <v>2831.8500000000004</v>
      </c>
    </row>
    <row r="190" spans="1:12" x14ac:dyDescent="0.35">
      <c r="A190" t="s">
        <v>288</v>
      </c>
      <c r="B190" t="s">
        <v>22</v>
      </c>
      <c r="C190" t="s">
        <v>34</v>
      </c>
      <c r="D190" t="s">
        <v>35</v>
      </c>
      <c r="E190">
        <v>1</v>
      </c>
      <c r="F190">
        <v>36008.020799999998</v>
      </c>
      <c r="G190">
        <v>33804</v>
      </c>
      <c r="H190">
        <v>1371</v>
      </c>
      <c r="I190">
        <v>1559.1</v>
      </c>
      <c r="J190">
        <f t="shared" si="6"/>
        <v>21.681739465076006</v>
      </c>
      <c r="K190">
        <f t="shared" si="7"/>
        <v>2622.0000000000014</v>
      </c>
      <c r="L190" s="1">
        <f t="shared" si="8"/>
        <v>2792.9544000000014</v>
      </c>
    </row>
    <row r="191" spans="1:12" x14ac:dyDescent="0.35">
      <c r="A191" t="s">
        <v>71</v>
      </c>
      <c r="B191" t="s">
        <v>40</v>
      </c>
      <c r="C191" t="s">
        <v>41</v>
      </c>
      <c r="D191" t="s">
        <v>41</v>
      </c>
      <c r="E191">
        <v>1</v>
      </c>
      <c r="F191">
        <v>4998.9303</v>
      </c>
      <c r="G191">
        <v>9</v>
      </c>
      <c r="H191">
        <v>0</v>
      </c>
      <c r="I191">
        <v>0.2</v>
      </c>
      <c r="J191">
        <f t="shared" si="6"/>
        <v>45</v>
      </c>
      <c r="K191">
        <f t="shared" si="7"/>
        <v>5</v>
      </c>
      <c r="L191" s="1">
        <f t="shared" si="8"/>
        <v>2777.1835000000001</v>
      </c>
    </row>
    <row r="192" spans="1:12" x14ac:dyDescent="0.35">
      <c r="A192" t="s">
        <v>289</v>
      </c>
      <c r="B192" t="s">
        <v>290</v>
      </c>
      <c r="C192" t="s">
        <v>291</v>
      </c>
      <c r="D192" t="s">
        <v>291</v>
      </c>
      <c r="E192">
        <v>1</v>
      </c>
      <c r="F192">
        <v>2751.915</v>
      </c>
      <c r="G192">
        <v>50</v>
      </c>
      <c r="H192">
        <v>0</v>
      </c>
      <c r="I192">
        <v>0</v>
      </c>
      <c r="J192" t="str">
        <f t="shared" si="6"/>
        <v>no usage/demand</v>
      </c>
      <c r="K192">
        <f t="shared" si="7"/>
        <v>50</v>
      </c>
      <c r="L192" s="1">
        <f t="shared" si="8"/>
        <v>2751.915</v>
      </c>
    </row>
    <row r="193" spans="1:12" x14ac:dyDescent="0.35">
      <c r="A193" t="s">
        <v>292</v>
      </c>
      <c r="B193" t="s">
        <v>22</v>
      </c>
      <c r="C193" t="s">
        <v>34</v>
      </c>
      <c r="D193" t="s">
        <v>61</v>
      </c>
      <c r="E193">
        <v>2</v>
      </c>
      <c r="F193">
        <v>2864.5212000000001</v>
      </c>
      <c r="G193">
        <v>408</v>
      </c>
      <c r="H193">
        <v>0</v>
      </c>
      <c r="I193">
        <v>0.9</v>
      </c>
      <c r="J193">
        <f t="shared" si="6"/>
        <v>453.33333333333331</v>
      </c>
      <c r="K193">
        <f t="shared" si="7"/>
        <v>390</v>
      </c>
      <c r="L193" s="1">
        <f t="shared" si="8"/>
        <v>2738.1452647058823</v>
      </c>
    </row>
    <row r="194" spans="1:12" x14ac:dyDescent="0.35">
      <c r="A194" t="s">
        <v>293</v>
      </c>
      <c r="B194" t="s">
        <v>37</v>
      </c>
      <c r="C194" t="s">
        <v>126</v>
      </c>
      <c r="D194" t="s">
        <v>126</v>
      </c>
      <c r="E194">
        <v>1</v>
      </c>
      <c r="F194">
        <v>2881.3440000000001</v>
      </c>
      <c r="G194">
        <v>32</v>
      </c>
      <c r="H194">
        <v>0</v>
      </c>
      <c r="I194">
        <v>0.1</v>
      </c>
      <c r="J194">
        <f t="shared" ref="J194:J257" si="9">IFERROR(G194/MAX(I194,H194),"no usage/demand")</f>
        <v>320</v>
      </c>
      <c r="K194">
        <f t="shared" ref="K194:K257" si="10">IFERROR(IF(J194="no usage/demand",G194,IF(J194&gt;20,(J194-20)*MAX(H194,I194),0)),"Check")</f>
        <v>30</v>
      </c>
      <c r="L194" s="1">
        <f t="shared" ref="L194:L257" si="11">IFERROR(F194/G194*K194,0)</f>
        <v>2701.26</v>
      </c>
    </row>
    <row r="195" spans="1:12" x14ac:dyDescent="0.35">
      <c r="A195" t="s">
        <v>294</v>
      </c>
      <c r="B195" t="s">
        <v>37</v>
      </c>
      <c r="C195" t="s">
        <v>295</v>
      </c>
      <c r="D195" t="s">
        <v>295</v>
      </c>
      <c r="E195">
        <v>2</v>
      </c>
      <c r="F195">
        <v>16613.967700000001</v>
      </c>
      <c r="G195">
        <v>1391</v>
      </c>
      <c r="H195">
        <v>36</v>
      </c>
      <c r="I195">
        <v>58.3</v>
      </c>
      <c r="J195">
        <f t="shared" si="9"/>
        <v>23.859348198970842</v>
      </c>
      <c r="K195">
        <f t="shared" si="10"/>
        <v>225.00000000000009</v>
      </c>
      <c r="L195" s="1">
        <f t="shared" si="11"/>
        <v>2687.3779529115754</v>
      </c>
    </row>
    <row r="196" spans="1:12" x14ac:dyDescent="0.35">
      <c r="A196" t="s">
        <v>296</v>
      </c>
      <c r="B196" t="s">
        <v>22</v>
      </c>
      <c r="C196" t="s">
        <v>23</v>
      </c>
      <c r="D196" t="s">
        <v>244</v>
      </c>
      <c r="E196">
        <v>1</v>
      </c>
      <c r="F196">
        <v>3196.1304</v>
      </c>
      <c r="G196">
        <v>1476</v>
      </c>
      <c r="H196">
        <v>12</v>
      </c>
      <c r="I196">
        <v>5.5</v>
      </c>
      <c r="J196">
        <f t="shared" si="9"/>
        <v>123</v>
      </c>
      <c r="K196">
        <f t="shared" si="10"/>
        <v>1236</v>
      </c>
      <c r="L196" s="1">
        <f t="shared" si="11"/>
        <v>2676.4344000000001</v>
      </c>
    </row>
    <row r="197" spans="1:12" x14ac:dyDescent="0.35">
      <c r="A197" t="s">
        <v>297</v>
      </c>
      <c r="B197" t="s">
        <v>37</v>
      </c>
      <c r="C197" t="s">
        <v>68</v>
      </c>
      <c r="D197" t="s">
        <v>68</v>
      </c>
      <c r="E197">
        <v>1</v>
      </c>
      <c r="F197">
        <v>2785.8216000000002</v>
      </c>
      <c r="G197">
        <v>564</v>
      </c>
      <c r="H197">
        <v>1</v>
      </c>
      <c r="I197">
        <v>1.4</v>
      </c>
      <c r="J197">
        <f t="shared" si="9"/>
        <v>402.85714285714289</v>
      </c>
      <c r="K197">
        <f t="shared" si="10"/>
        <v>536</v>
      </c>
      <c r="L197" s="1">
        <f t="shared" si="11"/>
        <v>2647.5183999999999</v>
      </c>
    </row>
    <row r="198" spans="1:12" x14ac:dyDescent="0.35">
      <c r="A198" t="s">
        <v>298</v>
      </c>
      <c r="B198" t="s">
        <v>150</v>
      </c>
      <c r="C198" t="s">
        <v>184</v>
      </c>
      <c r="D198" t="s">
        <v>185</v>
      </c>
      <c r="E198">
        <v>1</v>
      </c>
      <c r="F198">
        <v>3571.7220000000002</v>
      </c>
      <c r="G198">
        <v>924</v>
      </c>
      <c r="H198">
        <v>2</v>
      </c>
      <c r="I198">
        <v>12</v>
      </c>
      <c r="J198">
        <f t="shared" si="9"/>
        <v>77</v>
      </c>
      <c r="K198">
        <f t="shared" si="10"/>
        <v>684</v>
      </c>
      <c r="L198" s="1">
        <f t="shared" si="11"/>
        <v>2644.0020000000004</v>
      </c>
    </row>
    <row r="199" spans="1:12" x14ac:dyDescent="0.35">
      <c r="A199" t="s">
        <v>299</v>
      </c>
      <c r="B199" t="s">
        <v>100</v>
      </c>
      <c r="C199" t="s">
        <v>300</v>
      </c>
      <c r="D199" t="s">
        <v>300</v>
      </c>
      <c r="E199">
        <v>1</v>
      </c>
      <c r="F199">
        <v>79693.505999999994</v>
      </c>
      <c r="G199">
        <v>30</v>
      </c>
      <c r="H199">
        <v>1</v>
      </c>
      <c r="I199">
        <v>0.2</v>
      </c>
      <c r="J199">
        <f t="shared" si="9"/>
        <v>30</v>
      </c>
      <c r="K199">
        <f t="shared" si="10"/>
        <v>10</v>
      </c>
      <c r="L199" s="1">
        <f t="shared" si="11"/>
        <v>26564.501999999997</v>
      </c>
    </row>
    <row r="200" spans="1:12" x14ac:dyDescent="0.35">
      <c r="A200" t="s">
        <v>301</v>
      </c>
      <c r="B200" t="s">
        <v>22</v>
      </c>
      <c r="C200" t="s">
        <v>23</v>
      </c>
      <c r="D200" t="s">
        <v>244</v>
      </c>
      <c r="E200">
        <v>1</v>
      </c>
      <c r="F200">
        <v>3397.518</v>
      </c>
      <c r="G200">
        <v>1020</v>
      </c>
      <c r="H200">
        <v>12</v>
      </c>
      <c r="I200">
        <v>8.3000000000000007</v>
      </c>
      <c r="J200">
        <f t="shared" si="9"/>
        <v>85</v>
      </c>
      <c r="K200">
        <f t="shared" si="10"/>
        <v>780</v>
      </c>
      <c r="L200" s="1">
        <f t="shared" si="11"/>
        <v>2598.1020000000003</v>
      </c>
    </row>
    <row r="201" spans="1:12" x14ac:dyDescent="0.35">
      <c r="A201" t="s">
        <v>302</v>
      </c>
      <c r="B201" t="s">
        <v>22</v>
      </c>
      <c r="C201" t="s">
        <v>23</v>
      </c>
      <c r="D201" t="s">
        <v>244</v>
      </c>
      <c r="E201">
        <v>1</v>
      </c>
      <c r="F201">
        <v>3486.672</v>
      </c>
      <c r="G201">
        <v>1512</v>
      </c>
      <c r="H201">
        <v>20</v>
      </c>
      <c r="I201">
        <v>5.5</v>
      </c>
      <c r="J201">
        <f t="shared" si="9"/>
        <v>75.599999999999994</v>
      </c>
      <c r="K201">
        <f t="shared" si="10"/>
        <v>1112</v>
      </c>
      <c r="L201" s="1">
        <f t="shared" si="11"/>
        <v>2564.2719999999999</v>
      </c>
    </row>
    <row r="202" spans="1:12" x14ac:dyDescent="0.35">
      <c r="A202" t="s">
        <v>303</v>
      </c>
      <c r="B202" t="s">
        <v>22</v>
      </c>
      <c r="C202" t="s">
        <v>78</v>
      </c>
      <c r="D202" t="s">
        <v>199</v>
      </c>
      <c r="E202">
        <v>1</v>
      </c>
      <c r="F202">
        <v>2514.5639999999999</v>
      </c>
      <c r="G202">
        <v>1404</v>
      </c>
      <c r="H202">
        <v>0</v>
      </c>
      <c r="I202">
        <v>0</v>
      </c>
      <c r="J202" t="str">
        <f t="shared" si="9"/>
        <v>no usage/demand</v>
      </c>
      <c r="K202">
        <f t="shared" si="10"/>
        <v>1404</v>
      </c>
      <c r="L202" s="1">
        <f t="shared" si="11"/>
        <v>2514.5639999999999</v>
      </c>
    </row>
    <row r="203" spans="1:12" x14ac:dyDescent="0.35">
      <c r="A203" t="s">
        <v>304</v>
      </c>
      <c r="B203" t="s">
        <v>43</v>
      </c>
      <c r="C203" t="s">
        <v>140</v>
      </c>
      <c r="D203" t="s">
        <v>140</v>
      </c>
      <c r="E203">
        <v>1</v>
      </c>
      <c r="F203">
        <v>3534.1019999999999</v>
      </c>
      <c r="G203">
        <v>78</v>
      </c>
      <c r="H203">
        <v>1</v>
      </c>
      <c r="I203">
        <v>1.2</v>
      </c>
      <c r="J203">
        <f t="shared" si="9"/>
        <v>65</v>
      </c>
      <c r="K203">
        <f t="shared" si="10"/>
        <v>54</v>
      </c>
      <c r="L203" s="1">
        <f t="shared" si="11"/>
        <v>2446.6859999999997</v>
      </c>
    </row>
    <row r="204" spans="1:12" x14ac:dyDescent="0.35">
      <c r="A204" t="s">
        <v>305</v>
      </c>
      <c r="B204" t="s">
        <v>22</v>
      </c>
      <c r="C204" t="s">
        <v>53</v>
      </c>
      <c r="D204" t="s">
        <v>54</v>
      </c>
      <c r="E204">
        <v>2</v>
      </c>
      <c r="F204">
        <v>5970.0564000000004</v>
      </c>
      <c r="G204">
        <v>4968</v>
      </c>
      <c r="H204">
        <v>137</v>
      </c>
      <c r="I204">
        <v>146.80000000000001</v>
      </c>
      <c r="J204">
        <f t="shared" si="9"/>
        <v>33.841961852861033</v>
      </c>
      <c r="K204">
        <f t="shared" si="10"/>
        <v>2031.9999999999998</v>
      </c>
      <c r="L204" s="1">
        <f t="shared" si="11"/>
        <v>2441.8588173913045</v>
      </c>
    </row>
    <row r="205" spans="1:12" x14ac:dyDescent="0.35">
      <c r="A205" t="s">
        <v>306</v>
      </c>
      <c r="B205" t="s">
        <v>22</v>
      </c>
      <c r="C205" t="s">
        <v>78</v>
      </c>
      <c r="D205" t="s">
        <v>79</v>
      </c>
      <c r="E205">
        <v>1</v>
      </c>
      <c r="F205">
        <v>7094.1743999999999</v>
      </c>
      <c r="G205">
        <v>6156</v>
      </c>
      <c r="H205">
        <v>204</v>
      </c>
      <c r="I205">
        <v>196.6</v>
      </c>
      <c r="J205">
        <f t="shared" si="9"/>
        <v>30.176470588235293</v>
      </c>
      <c r="K205">
        <f t="shared" si="10"/>
        <v>2076</v>
      </c>
      <c r="L205" s="1">
        <f t="shared" si="11"/>
        <v>2392.3824000000004</v>
      </c>
    </row>
    <row r="206" spans="1:12" x14ac:dyDescent="0.35">
      <c r="A206" t="s">
        <v>307</v>
      </c>
      <c r="B206" t="s">
        <v>22</v>
      </c>
      <c r="C206" t="s">
        <v>34</v>
      </c>
      <c r="D206" t="s">
        <v>35</v>
      </c>
      <c r="E206">
        <v>2</v>
      </c>
      <c r="F206">
        <v>9035.3159999999989</v>
      </c>
      <c r="G206">
        <v>9180</v>
      </c>
      <c r="H206">
        <v>288</v>
      </c>
      <c r="I206">
        <v>337.8</v>
      </c>
      <c r="J206">
        <f t="shared" si="9"/>
        <v>27.175843694493782</v>
      </c>
      <c r="K206">
        <f t="shared" si="10"/>
        <v>2423.9999999999995</v>
      </c>
      <c r="L206" s="1">
        <f t="shared" si="11"/>
        <v>2385.7958588235288</v>
      </c>
    </row>
    <row r="207" spans="1:12" x14ac:dyDescent="0.35">
      <c r="A207" t="s">
        <v>308</v>
      </c>
      <c r="B207" t="s">
        <v>16</v>
      </c>
      <c r="C207" t="s">
        <v>142</v>
      </c>
      <c r="D207" t="s">
        <v>142</v>
      </c>
      <c r="E207">
        <v>1</v>
      </c>
      <c r="F207">
        <v>4202.1000000000004</v>
      </c>
      <c r="G207">
        <v>46</v>
      </c>
      <c r="H207">
        <v>1</v>
      </c>
      <c r="I207">
        <v>0.6</v>
      </c>
      <c r="J207">
        <f t="shared" si="9"/>
        <v>46</v>
      </c>
      <c r="K207">
        <f t="shared" si="10"/>
        <v>26</v>
      </c>
      <c r="L207" s="1">
        <f t="shared" si="11"/>
        <v>2375.1000000000004</v>
      </c>
    </row>
    <row r="208" spans="1:12" x14ac:dyDescent="0.35">
      <c r="A208" t="s">
        <v>309</v>
      </c>
      <c r="B208" t="s">
        <v>37</v>
      </c>
      <c r="C208" t="s">
        <v>194</v>
      </c>
      <c r="D208" t="s">
        <v>194</v>
      </c>
      <c r="E208">
        <v>1</v>
      </c>
      <c r="F208">
        <v>6086.0388000000003</v>
      </c>
      <c r="G208">
        <v>59</v>
      </c>
      <c r="H208">
        <v>0</v>
      </c>
      <c r="I208">
        <v>1.8</v>
      </c>
      <c r="J208">
        <f t="shared" si="9"/>
        <v>32.777777777777779</v>
      </c>
      <c r="K208">
        <f t="shared" si="10"/>
        <v>23.000000000000004</v>
      </c>
      <c r="L208" s="1">
        <f t="shared" si="11"/>
        <v>2372.5236000000004</v>
      </c>
    </row>
    <row r="209" spans="1:12" x14ac:dyDescent="0.35">
      <c r="A209" t="s">
        <v>310</v>
      </c>
      <c r="B209" t="s">
        <v>37</v>
      </c>
      <c r="C209" t="s">
        <v>194</v>
      </c>
      <c r="D209" t="s">
        <v>194</v>
      </c>
      <c r="E209">
        <v>1</v>
      </c>
      <c r="F209">
        <v>7250.9395999999997</v>
      </c>
      <c r="G209">
        <v>197</v>
      </c>
      <c r="H209">
        <v>1</v>
      </c>
      <c r="I209">
        <v>6.7</v>
      </c>
      <c r="J209">
        <f t="shared" si="9"/>
        <v>29.402985074626866</v>
      </c>
      <c r="K209">
        <f t="shared" si="10"/>
        <v>63</v>
      </c>
      <c r="L209" s="1">
        <f t="shared" si="11"/>
        <v>2318.8283999999999</v>
      </c>
    </row>
    <row r="210" spans="1:12" x14ac:dyDescent="0.35">
      <c r="A210" t="s">
        <v>311</v>
      </c>
      <c r="B210" t="s">
        <v>16</v>
      </c>
      <c r="C210" t="s">
        <v>312</v>
      </c>
      <c r="D210" t="s">
        <v>312</v>
      </c>
      <c r="E210">
        <v>1</v>
      </c>
      <c r="F210">
        <v>2293.0050000000001</v>
      </c>
      <c r="G210">
        <v>130</v>
      </c>
      <c r="H210">
        <v>0</v>
      </c>
      <c r="I210">
        <v>0</v>
      </c>
      <c r="J210" t="str">
        <f t="shared" si="9"/>
        <v>no usage/demand</v>
      </c>
      <c r="K210">
        <f t="shared" si="10"/>
        <v>130</v>
      </c>
      <c r="L210" s="1">
        <f t="shared" si="11"/>
        <v>2293.0050000000001</v>
      </c>
    </row>
    <row r="211" spans="1:12" x14ac:dyDescent="0.35">
      <c r="A211" t="s">
        <v>313</v>
      </c>
      <c r="B211" t="s">
        <v>16</v>
      </c>
      <c r="C211" t="s">
        <v>144</v>
      </c>
      <c r="D211" t="s">
        <v>144</v>
      </c>
      <c r="E211">
        <v>1</v>
      </c>
      <c r="F211">
        <v>2595.71</v>
      </c>
      <c r="G211">
        <v>4100</v>
      </c>
      <c r="H211">
        <v>24</v>
      </c>
      <c r="I211">
        <v>23.1</v>
      </c>
      <c r="J211">
        <f t="shared" si="9"/>
        <v>170.83333333333334</v>
      </c>
      <c r="K211">
        <f t="shared" si="10"/>
        <v>3620</v>
      </c>
      <c r="L211" s="1">
        <f t="shared" si="11"/>
        <v>2291.8220000000001</v>
      </c>
    </row>
    <row r="212" spans="1:12" x14ac:dyDescent="0.35">
      <c r="A212" t="s">
        <v>314</v>
      </c>
      <c r="B212" t="s">
        <v>22</v>
      </c>
      <c r="C212" t="s">
        <v>176</v>
      </c>
      <c r="D212" t="s">
        <v>177</v>
      </c>
      <c r="E212">
        <v>2</v>
      </c>
      <c r="F212">
        <v>2274.4848000000002</v>
      </c>
      <c r="G212">
        <v>1248</v>
      </c>
      <c r="H212">
        <v>0</v>
      </c>
      <c r="I212">
        <v>0</v>
      </c>
      <c r="J212" t="str">
        <f t="shared" si="9"/>
        <v>no usage/demand</v>
      </c>
      <c r="K212">
        <f t="shared" si="10"/>
        <v>1248</v>
      </c>
      <c r="L212" s="1">
        <f t="shared" si="11"/>
        <v>2274.4848000000002</v>
      </c>
    </row>
    <row r="213" spans="1:12" x14ac:dyDescent="0.35">
      <c r="A213" t="s">
        <v>315</v>
      </c>
      <c r="B213" t="s">
        <v>22</v>
      </c>
      <c r="C213" t="s">
        <v>53</v>
      </c>
      <c r="D213" t="s">
        <v>54</v>
      </c>
      <c r="E213">
        <v>1</v>
      </c>
      <c r="F213">
        <v>2270.4</v>
      </c>
      <c r="G213">
        <v>96</v>
      </c>
      <c r="H213">
        <v>0</v>
      </c>
      <c r="I213">
        <v>0</v>
      </c>
      <c r="J213" t="str">
        <f t="shared" si="9"/>
        <v>no usage/demand</v>
      </c>
      <c r="K213">
        <f t="shared" si="10"/>
        <v>96</v>
      </c>
      <c r="L213" s="1">
        <f t="shared" si="11"/>
        <v>2270.4</v>
      </c>
    </row>
    <row r="214" spans="1:12" x14ac:dyDescent="0.35">
      <c r="A214" t="s">
        <v>316</v>
      </c>
      <c r="B214" t="s">
        <v>16</v>
      </c>
      <c r="C214" t="s">
        <v>142</v>
      </c>
      <c r="D214" t="s">
        <v>142</v>
      </c>
      <c r="E214">
        <v>1</v>
      </c>
      <c r="F214">
        <v>2260.44</v>
      </c>
      <c r="G214">
        <v>24</v>
      </c>
      <c r="H214">
        <v>0</v>
      </c>
      <c r="I214">
        <v>0</v>
      </c>
      <c r="J214" t="str">
        <f t="shared" si="9"/>
        <v>no usage/demand</v>
      </c>
      <c r="K214">
        <f t="shared" si="10"/>
        <v>24</v>
      </c>
      <c r="L214" s="1">
        <f t="shared" si="11"/>
        <v>2260.44</v>
      </c>
    </row>
    <row r="215" spans="1:12" x14ac:dyDescent="0.35">
      <c r="A215" t="s">
        <v>317</v>
      </c>
      <c r="B215" t="s">
        <v>22</v>
      </c>
      <c r="C215" t="s">
        <v>23</v>
      </c>
      <c r="D215" t="s">
        <v>24</v>
      </c>
      <c r="E215">
        <v>1</v>
      </c>
      <c r="F215">
        <v>2858.3388</v>
      </c>
      <c r="G215">
        <v>2484</v>
      </c>
      <c r="H215">
        <v>26</v>
      </c>
      <c r="I215">
        <v>5.5</v>
      </c>
      <c r="J215">
        <f t="shared" si="9"/>
        <v>95.538461538461533</v>
      </c>
      <c r="K215">
        <f t="shared" si="10"/>
        <v>1963.9999999999998</v>
      </c>
      <c r="L215" s="1">
        <f t="shared" si="11"/>
        <v>2259.9748</v>
      </c>
    </row>
    <row r="216" spans="1:12" x14ac:dyDescent="0.35">
      <c r="A216" t="s">
        <v>318</v>
      </c>
      <c r="B216" t="s">
        <v>22</v>
      </c>
      <c r="C216" t="s">
        <v>34</v>
      </c>
      <c r="D216" t="s">
        <v>138</v>
      </c>
      <c r="E216">
        <v>1</v>
      </c>
      <c r="F216">
        <v>2238.4079999999999</v>
      </c>
      <c r="G216">
        <v>1032</v>
      </c>
      <c r="H216">
        <v>0</v>
      </c>
      <c r="I216">
        <v>0</v>
      </c>
      <c r="J216" t="str">
        <f t="shared" si="9"/>
        <v>no usage/demand</v>
      </c>
      <c r="K216">
        <f t="shared" si="10"/>
        <v>1032</v>
      </c>
      <c r="L216" s="1">
        <f t="shared" si="11"/>
        <v>2238.4079999999999</v>
      </c>
    </row>
    <row r="217" spans="1:12" x14ac:dyDescent="0.35">
      <c r="A217" t="s">
        <v>319</v>
      </c>
      <c r="B217" t="s">
        <v>320</v>
      </c>
      <c r="C217" t="s">
        <v>321</v>
      </c>
      <c r="D217" t="s">
        <v>321</v>
      </c>
      <c r="E217">
        <v>1</v>
      </c>
      <c r="F217">
        <v>2212.1208000000001</v>
      </c>
      <c r="G217">
        <v>54</v>
      </c>
      <c r="H217">
        <v>0</v>
      </c>
      <c r="I217">
        <v>0</v>
      </c>
      <c r="J217" t="str">
        <f t="shared" si="9"/>
        <v>no usage/demand</v>
      </c>
      <c r="K217">
        <f t="shared" si="10"/>
        <v>54</v>
      </c>
      <c r="L217" s="1">
        <f t="shared" si="11"/>
        <v>2212.1208000000001</v>
      </c>
    </row>
    <row r="218" spans="1:12" x14ac:dyDescent="0.35">
      <c r="A218" t="s">
        <v>322</v>
      </c>
      <c r="B218" t="s">
        <v>22</v>
      </c>
      <c r="C218" t="s">
        <v>23</v>
      </c>
      <c r="D218" t="s">
        <v>24</v>
      </c>
      <c r="E218">
        <v>2</v>
      </c>
      <c r="F218">
        <v>3327.9767999999999</v>
      </c>
      <c r="G218">
        <v>1512</v>
      </c>
      <c r="H218">
        <v>26</v>
      </c>
      <c r="I218">
        <v>22.2</v>
      </c>
      <c r="J218">
        <f t="shared" si="9"/>
        <v>58.153846153846153</v>
      </c>
      <c r="K218">
        <f t="shared" si="10"/>
        <v>992</v>
      </c>
      <c r="L218" s="1">
        <f t="shared" si="11"/>
        <v>2183.4345142857146</v>
      </c>
    </row>
    <row r="219" spans="1:12" x14ac:dyDescent="0.35">
      <c r="A219" t="s">
        <v>323</v>
      </c>
      <c r="B219" t="s">
        <v>22</v>
      </c>
      <c r="C219" t="s">
        <v>34</v>
      </c>
      <c r="D219" t="s">
        <v>35</v>
      </c>
      <c r="E219">
        <v>1</v>
      </c>
      <c r="F219">
        <v>2128.5095999999999</v>
      </c>
      <c r="G219">
        <v>372</v>
      </c>
      <c r="H219">
        <v>0</v>
      </c>
      <c r="I219">
        <v>0</v>
      </c>
      <c r="J219" t="str">
        <f t="shared" si="9"/>
        <v>no usage/demand</v>
      </c>
      <c r="K219">
        <f t="shared" si="10"/>
        <v>372</v>
      </c>
      <c r="L219" s="1">
        <f t="shared" si="11"/>
        <v>2128.5095999999999</v>
      </c>
    </row>
    <row r="220" spans="1:12" x14ac:dyDescent="0.35">
      <c r="A220" t="s">
        <v>324</v>
      </c>
      <c r="B220" t="s">
        <v>16</v>
      </c>
      <c r="C220" t="s">
        <v>144</v>
      </c>
      <c r="D220" t="s">
        <v>144</v>
      </c>
      <c r="E220">
        <v>1</v>
      </c>
      <c r="F220">
        <v>2128.4</v>
      </c>
      <c r="G220">
        <v>1000</v>
      </c>
      <c r="H220">
        <v>0</v>
      </c>
      <c r="I220">
        <v>0</v>
      </c>
      <c r="J220" t="str">
        <f t="shared" si="9"/>
        <v>no usage/demand</v>
      </c>
      <c r="K220">
        <f t="shared" si="10"/>
        <v>1000</v>
      </c>
      <c r="L220" s="1">
        <f t="shared" si="11"/>
        <v>2128.4</v>
      </c>
    </row>
    <row r="221" spans="1:12" x14ac:dyDescent="0.35">
      <c r="A221" t="s">
        <v>325</v>
      </c>
      <c r="B221" t="s">
        <v>37</v>
      </c>
      <c r="C221" t="s">
        <v>68</v>
      </c>
      <c r="D221" t="s">
        <v>68</v>
      </c>
      <c r="E221">
        <v>1</v>
      </c>
      <c r="F221">
        <v>2123.6291999999999</v>
      </c>
      <c r="G221">
        <v>564</v>
      </c>
      <c r="H221">
        <v>0</v>
      </c>
      <c r="I221">
        <v>0</v>
      </c>
      <c r="J221" t="str">
        <f t="shared" si="9"/>
        <v>no usage/demand</v>
      </c>
      <c r="K221">
        <f t="shared" si="10"/>
        <v>564</v>
      </c>
      <c r="L221" s="1">
        <f t="shared" si="11"/>
        <v>2123.6291999999999</v>
      </c>
    </row>
    <row r="222" spans="1:12" x14ac:dyDescent="0.35">
      <c r="A222" t="s">
        <v>326</v>
      </c>
      <c r="B222" t="s">
        <v>22</v>
      </c>
      <c r="C222" t="s">
        <v>23</v>
      </c>
      <c r="D222" t="s">
        <v>24</v>
      </c>
      <c r="E222">
        <v>2</v>
      </c>
      <c r="F222">
        <v>5064.2567999999992</v>
      </c>
      <c r="G222">
        <v>4572</v>
      </c>
      <c r="H222">
        <v>134</v>
      </c>
      <c r="I222">
        <v>69.2</v>
      </c>
      <c r="J222">
        <f t="shared" si="9"/>
        <v>34.119402985074629</v>
      </c>
      <c r="K222">
        <f t="shared" si="10"/>
        <v>1892.0000000000002</v>
      </c>
      <c r="L222" s="1">
        <f t="shared" si="11"/>
        <v>2095.7073196850392</v>
      </c>
    </row>
    <row r="223" spans="1:12" x14ac:dyDescent="0.35">
      <c r="A223" t="s">
        <v>327</v>
      </c>
      <c r="B223" t="s">
        <v>22</v>
      </c>
      <c r="C223" t="s">
        <v>34</v>
      </c>
      <c r="D223" t="s">
        <v>96</v>
      </c>
      <c r="E223">
        <v>2</v>
      </c>
      <c r="F223">
        <v>3927.7620000000002</v>
      </c>
      <c r="G223">
        <v>588</v>
      </c>
      <c r="H223">
        <v>11</v>
      </c>
      <c r="I223">
        <v>13.8</v>
      </c>
      <c r="J223">
        <f t="shared" si="9"/>
        <v>42.608695652173914</v>
      </c>
      <c r="K223">
        <f t="shared" si="10"/>
        <v>312.00000000000006</v>
      </c>
      <c r="L223" s="1">
        <f t="shared" si="11"/>
        <v>2084.1186122448985</v>
      </c>
    </row>
    <row r="224" spans="1:12" x14ac:dyDescent="0.35">
      <c r="A224" t="s">
        <v>328</v>
      </c>
      <c r="B224" t="s">
        <v>22</v>
      </c>
      <c r="C224" t="s">
        <v>34</v>
      </c>
      <c r="D224" t="s">
        <v>61</v>
      </c>
      <c r="E224">
        <v>1</v>
      </c>
      <c r="F224">
        <v>6803.7839999999997</v>
      </c>
      <c r="G224">
        <v>432</v>
      </c>
      <c r="H224">
        <v>15</v>
      </c>
      <c r="I224">
        <v>11.1</v>
      </c>
      <c r="J224">
        <f t="shared" si="9"/>
        <v>28.8</v>
      </c>
      <c r="K224">
        <f t="shared" si="10"/>
        <v>132</v>
      </c>
      <c r="L224" s="1">
        <f t="shared" si="11"/>
        <v>2078.9339999999997</v>
      </c>
    </row>
    <row r="225" spans="1:12" x14ac:dyDescent="0.35">
      <c r="A225" t="s">
        <v>329</v>
      </c>
      <c r="B225" t="s">
        <v>22</v>
      </c>
      <c r="C225" t="s">
        <v>23</v>
      </c>
      <c r="D225" t="s">
        <v>24</v>
      </c>
      <c r="E225">
        <v>2</v>
      </c>
      <c r="F225">
        <v>2919.7404000000001</v>
      </c>
      <c r="G225">
        <v>3420</v>
      </c>
      <c r="H225">
        <v>50</v>
      </c>
      <c r="I225">
        <v>19.399999999999999</v>
      </c>
      <c r="J225">
        <f t="shared" si="9"/>
        <v>68.400000000000006</v>
      </c>
      <c r="K225">
        <f t="shared" si="10"/>
        <v>2420.0000000000005</v>
      </c>
      <c r="L225" s="1">
        <f t="shared" si="11"/>
        <v>2066.0151368421057</v>
      </c>
    </row>
    <row r="226" spans="1:12" x14ac:dyDescent="0.35">
      <c r="A226" t="s">
        <v>330</v>
      </c>
      <c r="B226" t="s">
        <v>22</v>
      </c>
      <c r="C226" t="s">
        <v>34</v>
      </c>
      <c r="D226" t="s">
        <v>96</v>
      </c>
      <c r="E226">
        <v>2</v>
      </c>
      <c r="F226">
        <v>2381.616</v>
      </c>
      <c r="G226">
        <v>888</v>
      </c>
      <c r="H226">
        <v>6</v>
      </c>
      <c r="I226">
        <v>0</v>
      </c>
      <c r="J226">
        <f t="shared" si="9"/>
        <v>148</v>
      </c>
      <c r="K226">
        <f t="shared" si="10"/>
        <v>768</v>
      </c>
      <c r="L226" s="1">
        <f t="shared" si="11"/>
        <v>2059.7759999999998</v>
      </c>
    </row>
    <row r="227" spans="1:12" x14ac:dyDescent="0.35">
      <c r="A227" t="s">
        <v>331</v>
      </c>
      <c r="B227" t="s">
        <v>22</v>
      </c>
      <c r="C227" t="s">
        <v>23</v>
      </c>
      <c r="D227" t="s">
        <v>24</v>
      </c>
      <c r="E227">
        <v>2</v>
      </c>
      <c r="F227">
        <v>6372.3815999999997</v>
      </c>
      <c r="G227">
        <v>5148</v>
      </c>
      <c r="H227">
        <v>130</v>
      </c>
      <c r="I227">
        <v>174.5</v>
      </c>
      <c r="J227">
        <f t="shared" si="9"/>
        <v>29.501432664756447</v>
      </c>
      <c r="K227">
        <f t="shared" si="10"/>
        <v>1658</v>
      </c>
      <c r="L227" s="1">
        <f t="shared" si="11"/>
        <v>2052.3326909090911</v>
      </c>
    </row>
    <row r="228" spans="1:12" x14ac:dyDescent="0.35">
      <c r="A228" t="s">
        <v>332</v>
      </c>
      <c r="B228" t="s">
        <v>22</v>
      </c>
      <c r="C228" t="s">
        <v>53</v>
      </c>
      <c r="D228" t="s">
        <v>54</v>
      </c>
      <c r="E228">
        <v>2</v>
      </c>
      <c r="F228">
        <v>2549.8225000000002</v>
      </c>
      <c r="G228">
        <v>1116</v>
      </c>
      <c r="H228">
        <v>0</v>
      </c>
      <c r="I228">
        <v>11.1</v>
      </c>
      <c r="J228">
        <f t="shared" si="9"/>
        <v>100.54054054054055</v>
      </c>
      <c r="K228">
        <f t="shared" si="10"/>
        <v>894</v>
      </c>
      <c r="L228" s="1">
        <f t="shared" si="11"/>
        <v>2042.5997446236561</v>
      </c>
    </row>
    <row r="229" spans="1:12" x14ac:dyDescent="0.35">
      <c r="A229" t="s">
        <v>333</v>
      </c>
      <c r="B229" t="s">
        <v>16</v>
      </c>
      <c r="C229" t="s">
        <v>142</v>
      </c>
      <c r="D229" t="s">
        <v>142</v>
      </c>
      <c r="E229">
        <v>1</v>
      </c>
      <c r="F229">
        <v>4405.59</v>
      </c>
      <c r="G229">
        <v>63</v>
      </c>
      <c r="H229">
        <v>1</v>
      </c>
      <c r="I229">
        <v>1.7</v>
      </c>
      <c r="J229">
        <f t="shared" si="9"/>
        <v>37.058823529411768</v>
      </c>
      <c r="K229">
        <f t="shared" si="10"/>
        <v>29.000000000000004</v>
      </c>
      <c r="L229" s="1">
        <f t="shared" si="11"/>
        <v>2027.9700000000005</v>
      </c>
    </row>
    <row r="230" spans="1:12" x14ac:dyDescent="0.35">
      <c r="A230" t="s">
        <v>334</v>
      </c>
      <c r="B230" t="s">
        <v>22</v>
      </c>
      <c r="C230" t="s">
        <v>53</v>
      </c>
      <c r="D230" t="s">
        <v>54</v>
      </c>
      <c r="E230">
        <v>1</v>
      </c>
      <c r="F230">
        <v>2025.2544</v>
      </c>
      <c r="G230">
        <v>192</v>
      </c>
      <c r="H230">
        <v>0</v>
      </c>
      <c r="I230">
        <v>0</v>
      </c>
      <c r="J230" t="str">
        <f t="shared" si="9"/>
        <v>no usage/demand</v>
      </c>
      <c r="K230">
        <f t="shared" si="10"/>
        <v>192</v>
      </c>
      <c r="L230" s="1">
        <f t="shared" si="11"/>
        <v>2025.2543999999998</v>
      </c>
    </row>
    <row r="231" spans="1:12" x14ac:dyDescent="0.35">
      <c r="A231" t="s">
        <v>335</v>
      </c>
      <c r="B231" t="s">
        <v>37</v>
      </c>
      <c r="C231" t="s">
        <v>336</v>
      </c>
      <c r="D231" t="s">
        <v>336</v>
      </c>
      <c r="E231">
        <v>1</v>
      </c>
      <c r="F231">
        <v>2386.1900999999998</v>
      </c>
      <c r="G231">
        <v>188</v>
      </c>
      <c r="H231">
        <v>0</v>
      </c>
      <c r="I231">
        <v>1.5</v>
      </c>
      <c r="J231">
        <f t="shared" si="9"/>
        <v>125.33333333333333</v>
      </c>
      <c r="K231">
        <f t="shared" si="10"/>
        <v>158</v>
      </c>
      <c r="L231" s="1">
        <f t="shared" si="11"/>
        <v>2005.4150840425532</v>
      </c>
    </row>
    <row r="232" spans="1:12" x14ac:dyDescent="0.35">
      <c r="A232" t="s">
        <v>337</v>
      </c>
      <c r="B232" t="s">
        <v>22</v>
      </c>
      <c r="C232" t="s">
        <v>53</v>
      </c>
      <c r="D232" t="s">
        <v>154</v>
      </c>
      <c r="E232">
        <v>2</v>
      </c>
      <c r="F232">
        <v>2705.0974999999999</v>
      </c>
      <c r="G232">
        <v>2268</v>
      </c>
      <c r="H232">
        <v>6</v>
      </c>
      <c r="I232">
        <v>30.5</v>
      </c>
      <c r="J232">
        <f t="shared" si="9"/>
        <v>74.360655737704917</v>
      </c>
      <c r="K232">
        <f t="shared" si="10"/>
        <v>1658</v>
      </c>
      <c r="L232" s="1">
        <f t="shared" si="11"/>
        <v>1977.5360030864199</v>
      </c>
    </row>
    <row r="233" spans="1:12" x14ac:dyDescent="0.35">
      <c r="A233" t="s">
        <v>338</v>
      </c>
      <c r="B233" t="s">
        <v>16</v>
      </c>
      <c r="C233" t="s">
        <v>84</v>
      </c>
      <c r="D233" t="s">
        <v>84</v>
      </c>
      <c r="E233">
        <v>1</v>
      </c>
      <c r="F233">
        <v>1973.16</v>
      </c>
      <c r="G233">
        <v>58</v>
      </c>
      <c r="H233">
        <v>0</v>
      </c>
      <c r="I233">
        <v>0</v>
      </c>
      <c r="J233" t="str">
        <f t="shared" si="9"/>
        <v>no usage/demand</v>
      </c>
      <c r="K233">
        <f t="shared" si="10"/>
        <v>58</v>
      </c>
      <c r="L233" s="1">
        <f t="shared" si="11"/>
        <v>1973.16</v>
      </c>
    </row>
    <row r="234" spans="1:12" x14ac:dyDescent="0.35">
      <c r="A234" t="s">
        <v>339</v>
      </c>
      <c r="B234" t="s">
        <v>22</v>
      </c>
      <c r="C234" t="s">
        <v>23</v>
      </c>
      <c r="D234" t="s">
        <v>244</v>
      </c>
      <c r="E234">
        <v>1</v>
      </c>
      <c r="F234">
        <v>4575.9168</v>
      </c>
      <c r="G234">
        <v>1404</v>
      </c>
      <c r="H234">
        <v>40</v>
      </c>
      <c r="I234">
        <v>27.7</v>
      </c>
      <c r="J234">
        <f t="shared" si="9"/>
        <v>35.1</v>
      </c>
      <c r="K234">
        <f t="shared" si="10"/>
        <v>604</v>
      </c>
      <c r="L234" s="1">
        <f t="shared" si="11"/>
        <v>1968.5567999999998</v>
      </c>
    </row>
    <row r="235" spans="1:12" x14ac:dyDescent="0.35">
      <c r="A235" t="s">
        <v>340</v>
      </c>
      <c r="B235" t="s">
        <v>22</v>
      </c>
      <c r="C235" t="s">
        <v>34</v>
      </c>
      <c r="D235" t="s">
        <v>61</v>
      </c>
      <c r="E235">
        <v>2</v>
      </c>
      <c r="F235">
        <v>3227.2127999999998</v>
      </c>
      <c r="G235">
        <v>3408</v>
      </c>
      <c r="H235">
        <v>42</v>
      </c>
      <c r="I235">
        <v>66.5</v>
      </c>
      <c r="J235">
        <f t="shared" si="9"/>
        <v>51.248120300751879</v>
      </c>
      <c r="K235">
        <f t="shared" si="10"/>
        <v>2078</v>
      </c>
      <c r="L235" s="1">
        <f t="shared" si="11"/>
        <v>1967.766490140845</v>
      </c>
    </row>
    <row r="236" spans="1:12" x14ac:dyDescent="0.35">
      <c r="A236" t="s">
        <v>341</v>
      </c>
      <c r="B236" t="s">
        <v>22</v>
      </c>
      <c r="C236" t="s">
        <v>34</v>
      </c>
      <c r="D236" t="s">
        <v>61</v>
      </c>
      <c r="E236">
        <v>2</v>
      </c>
      <c r="F236">
        <v>2048.8751999999999</v>
      </c>
      <c r="G236">
        <v>2664</v>
      </c>
      <c r="H236">
        <v>5</v>
      </c>
      <c r="I236">
        <v>5.5</v>
      </c>
      <c r="J236">
        <f t="shared" si="9"/>
        <v>484.36363636363637</v>
      </c>
      <c r="K236">
        <f t="shared" si="10"/>
        <v>2554</v>
      </c>
      <c r="L236" s="1">
        <f t="shared" si="11"/>
        <v>1964.2744972972971</v>
      </c>
    </row>
    <row r="237" spans="1:12" x14ac:dyDescent="0.35">
      <c r="A237" t="s">
        <v>342</v>
      </c>
      <c r="B237" t="s">
        <v>22</v>
      </c>
      <c r="C237" t="s">
        <v>78</v>
      </c>
      <c r="D237" t="s">
        <v>199</v>
      </c>
      <c r="E237">
        <v>1</v>
      </c>
      <c r="F237">
        <v>3088.2995999999998</v>
      </c>
      <c r="G237">
        <v>2844</v>
      </c>
      <c r="H237">
        <v>30</v>
      </c>
      <c r="I237">
        <v>52.6</v>
      </c>
      <c r="J237">
        <f t="shared" si="9"/>
        <v>54.068441064638783</v>
      </c>
      <c r="K237">
        <f t="shared" si="10"/>
        <v>1792</v>
      </c>
      <c r="L237" s="1">
        <f t="shared" si="11"/>
        <v>1945.9327999999998</v>
      </c>
    </row>
    <row r="238" spans="1:12" x14ac:dyDescent="0.35">
      <c r="A238" t="s">
        <v>343</v>
      </c>
      <c r="B238" t="s">
        <v>22</v>
      </c>
      <c r="C238" t="s">
        <v>176</v>
      </c>
      <c r="D238" t="s">
        <v>177</v>
      </c>
      <c r="E238">
        <v>1</v>
      </c>
      <c r="F238">
        <v>1939.896</v>
      </c>
      <c r="G238">
        <v>1008</v>
      </c>
      <c r="H238">
        <v>0</v>
      </c>
      <c r="I238">
        <v>0</v>
      </c>
      <c r="J238" t="str">
        <f t="shared" si="9"/>
        <v>no usage/demand</v>
      </c>
      <c r="K238">
        <f t="shared" si="10"/>
        <v>1008</v>
      </c>
      <c r="L238" s="1">
        <f t="shared" si="11"/>
        <v>1939.896</v>
      </c>
    </row>
    <row r="239" spans="1:12" x14ac:dyDescent="0.35">
      <c r="A239" t="s">
        <v>344</v>
      </c>
      <c r="B239" t="s">
        <v>13</v>
      </c>
      <c r="C239" t="s">
        <v>345</v>
      </c>
      <c r="D239" t="s">
        <v>345</v>
      </c>
      <c r="E239">
        <v>1</v>
      </c>
      <c r="F239">
        <v>10839.822200000001</v>
      </c>
      <c r="G239">
        <v>17</v>
      </c>
      <c r="H239">
        <v>0</v>
      </c>
      <c r="I239">
        <v>0.7</v>
      </c>
      <c r="J239">
        <f t="shared" si="9"/>
        <v>24.285714285714288</v>
      </c>
      <c r="K239">
        <f t="shared" si="10"/>
        <v>3.0000000000000018</v>
      </c>
      <c r="L239" s="1">
        <f t="shared" si="11"/>
        <v>1912.9098000000013</v>
      </c>
    </row>
    <row r="240" spans="1:12" x14ac:dyDescent="0.35">
      <c r="A240" t="s">
        <v>346</v>
      </c>
      <c r="B240" t="s">
        <v>22</v>
      </c>
      <c r="C240" t="s">
        <v>274</v>
      </c>
      <c r="D240" t="s">
        <v>275</v>
      </c>
      <c r="E240">
        <v>1</v>
      </c>
      <c r="F240">
        <v>3307.1183999999998</v>
      </c>
      <c r="G240">
        <v>2988</v>
      </c>
      <c r="H240">
        <v>65</v>
      </c>
      <c r="I240">
        <v>55.4</v>
      </c>
      <c r="J240">
        <f t="shared" si="9"/>
        <v>45.969230769230769</v>
      </c>
      <c r="K240">
        <f t="shared" si="10"/>
        <v>1688</v>
      </c>
      <c r="L240" s="1">
        <f t="shared" si="11"/>
        <v>1868.2783999999999</v>
      </c>
    </row>
    <row r="241" spans="1:12" x14ac:dyDescent="0.35">
      <c r="A241" t="s">
        <v>347</v>
      </c>
      <c r="B241" t="s">
        <v>88</v>
      </c>
      <c r="C241" t="s">
        <v>89</v>
      </c>
      <c r="D241" t="s">
        <v>89</v>
      </c>
      <c r="E241">
        <v>1</v>
      </c>
      <c r="F241">
        <v>13755.096</v>
      </c>
      <c r="G241">
        <v>1620</v>
      </c>
      <c r="H241">
        <v>70</v>
      </c>
      <c r="I241">
        <v>60</v>
      </c>
      <c r="J241">
        <f t="shared" si="9"/>
        <v>23.142857142857142</v>
      </c>
      <c r="K241">
        <f t="shared" si="10"/>
        <v>219.99999999999997</v>
      </c>
      <c r="L241" s="1">
        <f t="shared" si="11"/>
        <v>1867.9759999999999</v>
      </c>
    </row>
    <row r="242" spans="1:12" x14ac:dyDescent="0.35">
      <c r="A242" t="s">
        <v>348</v>
      </c>
      <c r="B242" t="s">
        <v>22</v>
      </c>
      <c r="C242" t="s">
        <v>23</v>
      </c>
      <c r="D242" t="s">
        <v>24</v>
      </c>
      <c r="E242">
        <v>2</v>
      </c>
      <c r="F242">
        <v>2856.6828999999998</v>
      </c>
      <c r="G242">
        <v>2484</v>
      </c>
      <c r="H242">
        <v>44</v>
      </c>
      <c r="I242">
        <v>19.399999999999999</v>
      </c>
      <c r="J242">
        <f t="shared" si="9"/>
        <v>56.454545454545453</v>
      </c>
      <c r="K242">
        <f t="shared" si="10"/>
        <v>1604</v>
      </c>
      <c r="L242" s="1">
        <f t="shared" si="11"/>
        <v>1844.6535312399355</v>
      </c>
    </row>
    <row r="243" spans="1:12" x14ac:dyDescent="0.35">
      <c r="A243" t="s">
        <v>349</v>
      </c>
      <c r="B243" t="s">
        <v>100</v>
      </c>
      <c r="C243" t="s">
        <v>350</v>
      </c>
      <c r="D243" t="s">
        <v>350</v>
      </c>
      <c r="E243">
        <v>1</v>
      </c>
      <c r="F243">
        <v>94024.603199999998</v>
      </c>
      <c r="G243">
        <v>33</v>
      </c>
      <c r="H243">
        <v>1</v>
      </c>
      <c r="I243">
        <v>0.7</v>
      </c>
      <c r="J243">
        <f t="shared" si="9"/>
        <v>33</v>
      </c>
      <c r="K243">
        <f t="shared" si="10"/>
        <v>13</v>
      </c>
      <c r="L243" s="1">
        <f t="shared" si="11"/>
        <v>37039.995199999998</v>
      </c>
    </row>
    <row r="244" spans="1:12" x14ac:dyDescent="0.35">
      <c r="A244" t="s">
        <v>335</v>
      </c>
      <c r="B244" t="s">
        <v>37</v>
      </c>
      <c r="C244" t="s">
        <v>336</v>
      </c>
      <c r="D244" t="s">
        <v>336</v>
      </c>
      <c r="E244">
        <v>1</v>
      </c>
      <c r="F244">
        <v>2316.0137</v>
      </c>
      <c r="G244">
        <v>187</v>
      </c>
      <c r="H244">
        <v>2</v>
      </c>
      <c r="I244">
        <v>0</v>
      </c>
      <c r="J244">
        <f t="shared" si="9"/>
        <v>93.5</v>
      </c>
      <c r="K244">
        <f t="shared" si="10"/>
        <v>147</v>
      </c>
      <c r="L244" s="1">
        <f t="shared" si="11"/>
        <v>1820.6097</v>
      </c>
    </row>
    <row r="245" spans="1:12" x14ac:dyDescent="0.35">
      <c r="A245" t="s">
        <v>351</v>
      </c>
      <c r="B245" t="s">
        <v>22</v>
      </c>
      <c r="C245" t="s">
        <v>78</v>
      </c>
      <c r="D245" t="s">
        <v>199</v>
      </c>
      <c r="E245">
        <v>1</v>
      </c>
      <c r="F245">
        <v>2150.46</v>
      </c>
      <c r="G245">
        <v>1800</v>
      </c>
      <c r="H245">
        <v>14</v>
      </c>
      <c r="I245">
        <v>2.8</v>
      </c>
      <c r="J245">
        <f t="shared" si="9"/>
        <v>128.57142857142858</v>
      </c>
      <c r="K245">
        <f t="shared" si="10"/>
        <v>1520.0000000000002</v>
      </c>
      <c r="L245" s="1">
        <f t="shared" si="11"/>
        <v>1815.9440000000004</v>
      </c>
    </row>
    <row r="246" spans="1:12" x14ac:dyDescent="0.35">
      <c r="A246" t="s">
        <v>352</v>
      </c>
      <c r="B246" t="s">
        <v>22</v>
      </c>
      <c r="C246" t="s">
        <v>23</v>
      </c>
      <c r="D246" t="s">
        <v>244</v>
      </c>
      <c r="E246">
        <v>1</v>
      </c>
      <c r="F246">
        <v>1813.1148000000001</v>
      </c>
      <c r="G246">
        <v>756</v>
      </c>
      <c r="H246">
        <v>0</v>
      </c>
      <c r="I246">
        <v>0</v>
      </c>
      <c r="J246" t="str">
        <f t="shared" si="9"/>
        <v>no usage/demand</v>
      </c>
      <c r="K246">
        <f t="shared" si="10"/>
        <v>756</v>
      </c>
      <c r="L246" s="1">
        <f t="shared" si="11"/>
        <v>1813.1147999999998</v>
      </c>
    </row>
    <row r="247" spans="1:12" x14ac:dyDescent="0.35">
      <c r="A247" t="s">
        <v>353</v>
      </c>
      <c r="B247" t="s">
        <v>22</v>
      </c>
      <c r="C247" t="s">
        <v>23</v>
      </c>
      <c r="D247" t="s">
        <v>24</v>
      </c>
      <c r="E247">
        <v>2</v>
      </c>
      <c r="F247">
        <v>6113.2356</v>
      </c>
      <c r="G247">
        <v>3384</v>
      </c>
      <c r="H247">
        <v>50</v>
      </c>
      <c r="I247">
        <v>119.1</v>
      </c>
      <c r="J247">
        <f t="shared" si="9"/>
        <v>28.41309823677582</v>
      </c>
      <c r="K247">
        <f t="shared" si="10"/>
        <v>1002.0000000000001</v>
      </c>
      <c r="L247" s="1">
        <f t="shared" si="11"/>
        <v>1810.1247255319151</v>
      </c>
    </row>
    <row r="248" spans="1:12" x14ac:dyDescent="0.35">
      <c r="A248" t="s">
        <v>354</v>
      </c>
      <c r="B248" t="s">
        <v>88</v>
      </c>
      <c r="C248" t="s">
        <v>89</v>
      </c>
      <c r="D248" t="s">
        <v>89</v>
      </c>
      <c r="E248">
        <v>2</v>
      </c>
      <c r="F248">
        <v>2689.5455999999999</v>
      </c>
      <c r="G248">
        <v>336</v>
      </c>
      <c r="H248">
        <v>5</v>
      </c>
      <c r="I248">
        <v>5.5</v>
      </c>
      <c r="J248">
        <f t="shared" si="9"/>
        <v>61.090909090909093</v>
      </c>
      <c r="K248">
        <f t="shared" si="10"/>
        <v>226</v>
      </c>
      <c r="L248" s="1">
        <f t="shared" si="11"/>
        <v>1809.0396000000001</v>
      </c>
    </row>
    <row r="249" spans="1:12" x14ac:dyDescent="0.35">
      <c r="A249" t="s">
        <v>355</v>
      </c>
      <c r="B249" t="s">
        <v>22</v>
      </c>
      <c r="C249" t="s">
        <v>23</v>
      </c>
      <c r="D249" t="s">
        <v>244</v>
      </c>
      <c r="E249">
        <v>1</v>
      </c>
      <c r="F249">
        <v>3409.1819999999998</v>
      </c>
      <c r="G249">
        <v>1260</v>
      </c>
      <c r="H249">
        <v>30</v>
      </c>
      <c r="I249">
        <v>13.8</v>
      </c>
      <c r="J249">
        <f t="shared" si="9"/>
        <v>42</v>
      </c>
      <c r="K249">
        <f t="shared" si="10"/>
        <v>660</v>
      </c>
      <c r="L249" s="1">
        <f t="shared" si="11"/>
        <v>1785.7619999999999</v>
      </c>
    </row>
    <row r="250" spans="1:12" x14ac:dyDescent="0.35">
      <c r="A250" t="s">
        <v>356</v>
      </c>
      <c r="B250" t="s">
        <v>22</v>
      </c>
      <c r="C250" t="s">
        <v>53</v>
      </c>
      <c r="D250" t="s">
        <v>56</v>
      </c>
      <c r="E250">
        <v>2</v>
      </c>
      <c r="F250">
        <v>3034.3175999999999</v>
      </c>
      <c r="G250">
        <v>1416</v>
      </c>
      <c r="H250">
        <v>0</v>
      </c>
      <c r="I250">
        <v>29.6</v>
      </c>
      <c r="J250">
        <f t="shared" si="9"/>
        <v>47.837837837837839</v>
      </c>
      <c r="K250">
        <f t="shared" si="10"/>
        <v>824.00000000000011</v>
      </c>
      <c r="L250" s="1">
        <f t="shared" si="11"/>
        <v>1765.7328406779661</v>
      </c>
    </row>
    <row r="251" spans="1:12" x14ac:dyDescent="0.35">
      <c r="A251" t="s">
        <v>357</v>
      </c>
      <c r="B251" t="s">
        <v>22</v>
      </c>
      <c r="C251" t="s">
        <v>53</v>
      </c>
      <c r="D251" t="s">
        <v>358</v>
      </c>
      <c r="E251">
        <v>1</v>
      </c>
      <c r="F251">
        <v>6517.8792000000003</v>
      </c>
      <c r="G251">
        <v>2844</v>
      </c>
      <c r="H251">
        <v>104</v>
      </c>
      <c r="I251">
        <v>31.4</v>
      </c>
      <c r="J251">
        <f t="shared" si="9"/>
        <v>27.346153846153847</v>
      </c>
      <c r="K251">
        <f t="shared" si="10"/>
        <v>764</v>
      </c>
      <c r="L251" s="1">
        <f t="shared" si="11"/>
        <v>1750.9352000000001</v>
      </c>
    </row>
    <row r="252" spans="1:12" x14ac:dyDescent="0.35">
      <c r="A252" t="s">
        <v>359</v>
      </c>
      <c r="B252" t="s">
        <v>40</v>
      </c>
      <c r="C252" t="s">
        <v>124</v>
      </c>
      <c r="D252" t="s">
        <v>124</v>
      </c>
      <c r="E252">
        <v>1</v>
      </c>
      <c r="F252">
        <v>1734.6833999999999</v>
      </c>
      <c r="G252">
        <v>34</v>
      </c>
      <c r="H252">
        <v>0</v>
      </c>
      <c r="I252">
        <v>0</v>
      </c>
      <c r="J252" t="str">
        <f t="shared" si="9"/>
        <v>no usage/demand</v>
      </c>
      <c r="K252">
        <f t="shared" si="10"/>
        <v>34</v>
      </c>
      <c r="L252" s="1">
        <f t="shared" si="11"/>
        <v>1734.6833999999999</v>
      </c>
    </row>
    <row r="253" spans="1:12" x14ac:dyDescent="0.35">
      <c r="A253" t="s">
        <v>360</v>
      </c>
      <c r="B253" t="s">
        <v>161</v>
      </c>
      <c r="C253" t="s">
        <v>162</v>
      </c>
      <c r="D253" t="s">
        <v>163</v>
      </c>
      <c r="E253">
        <v>1</v>
      </c>
      <c r="F253">
        <v>9691.6291999999994</v>
      </c>
      <c r="G253">
        <v>682</v>
      </c>
      <c r="H253">
        <v>28</v>
      </c>
      <c r="I253">
        <v>18.5</v>
      </c>
      <c r="J253">
        <f t="shared" si="9"/>
        <v>24.357142857142858</v>
      </c>
      <c r="K253">
        <f t="shared" si="10"/>
        <v>122.00000000000001</v>
      </c>
      <c r="L253" s="1">
        <f t="shared" si="11"/>
        <v>1733.6932000000002</v>
      </c>
    </row>
    <row r="254" spans="1:12" x14ac:dyDescent="0.35">
      <c r="A254" t="s">
        <v>361</v>
      </c>
      <c r="B254" t="s">
        <v>100</v>
      </c>
      <c r="C254" t="s">
        <v>300</v>
      </c>
      <c r="D254" t="s">
        <v>300</v>
      </c>
      <c r="E254">
        <v>2</v>
      </c>
      <c r="F254">
        <v>6325.4337999999998</v>
      </c>
      <c r="G254">
        <v>18</v>
      </c>
      <c r="H254">
        <v>0</v>
      </c>
      <c r="I254">
        <v>0.1</v>
      </c>
      <c r="J254">
        <f t="shared" si="9"/>
        <v>180</v>
      </c>
      <c r="K254">
        <f t="shared" si="10"/>
        <v>16</v>
      </c>
      <c r="L254" s="1">
        <f t="shared" si="11"/>
        <v>5622.6078222222222</v>
      </c>
    </row>
    <row r="255" spans="1:12" x14ac:dyDescent="0.35">
      <c r="A255" t="s">
        <v>362</v>
      </c>
      <c r="B255" t="s">
        <v>88</v>
      </c>
      <c r="C255" t="s">
        <v>89</v>
      </c>
      <c r="D255" t="s">
        <v>89</v>
      </c>
      <c r="E255">
        <v>1</v>
      </c>
      <c r="F255">
        <v>2328.0396000000001</v>
      </c>
      <c r="G255">
        <v>228</v>
      </c>
      <c r="H255">
        <v>3</v>
      </c>
      <c r="I255">
        <v>2.8</v>
      </c>
      <c r="J255">
        <f t="shared" si="9"/>
        <v>76</v>
      </c>
      <c r="K255">
        <f t="shared" si="10"/>
        <v>168</v>
      </c>
      <c r="L255" s="1">
        <f t="shared" si="11"/>
        <v>1715.3976000000002</v>
      </c>
    </row>
    <row r="256" spans="1:12" x14ac:dyDescent="0.35">
      <c r="A256" t="s">
        <v>363</v>
      </c>
      <c r="B256" t="s">
        <v>364</v>
      </c>
      <c r="C256" t="s">
        <v>365</v>
      </c>
      <c r="D256" t="s">
        <v>365</v>
      </c>
      <c r="E256">
        <v>1</v>
      </c>
      <c r="F256">
        <v>2236.0875000000001</v>
      </c>
      <c r="G256">
        <v>25</v>
      </c>
      <c r="H256">
        <v>0</v>
      </c>
      <c r="I256">
        <v>0.2</v>
      </c>
      <c r="J256">
        <f t="shared" si="9"/>
        <v>125</v>
      </c>
      <c r="K256">
        <f t="shared" si="10"/>
        <v>21</v>
      </c>
      <c r="L256" s="1">
        <f t="shared" si="11"/>
        <v>1878.3135</v>
      </c>
    </row>
    <row r="257" spans="1:12" x14ac:dyDescent="0.35">
      <c r="A257" t="s">
        <v>366</v>
      </c>
      <c r="B257" t="s">
        <v>22</v>
      </c>
      <c r="C257" t="s">
        <v>23</v>
      </c>
      <c r="D257" t="s">
        <v>244</v>
      </c>
      <c r="E257">
        <v>1</v>
      </c>
      <c r="F257">
        <v>1773.576</v>
      </c>
      <c r="G257">
        <v>828</v>
      </c>
      <c r="H257">
        <v>2</v>
      </c>
      <c r="I257">
        <v>0</v>
      </c>
      <c r="J257">
        <f t="shared" si="9"/>
        <v>414</v>
      </c>
      <c r="K257">
        <f t="shared" si="10"/>
        <v>788</v>
      </c>
      <c r="L257" s="1">
        <f t="shared" si="11"/>
        <v>1687.896</v>
      </c>
    </row>
    <row r="258" spans="1:12" x14ac:dyDescent="0.35">
      <c r="A258" t="s">
        <v>367</v>
      </c>
      <c r="B258" t="s">
        <v>161</v>
      </c>
      <c r="C258" t="s">
        <v>227</v>
      </c>
      <c r="D258" t="s">
        <v>228</v>
      </c>
      <c r="E258">
        <v>1</v>
      </c>
      <c r="F258">
        <v>4736.1923999999999</v>
      </c>
      <c r="G258">
        <v>186</v>
      </c>
      <c r="H258">
        <v>6</v>
      </c>
      <c r="I258">
        <v>3.5</v>
      </c>
      <c r="J258">
        <f t="shared" ref="J258:J321" si="12">IFERROR(G258/MAX(I258,H258),"no usage/demand")</f>
        <v>31</v>
      </c>
      <c r="K258">
        <f t="shared" ref="K258:K321" si="13">IFERROR(IF(J258="no usage/demand",G258,IF(J258&gt;20,(J258-20)*MAX(H258,I258),0)),"Check")</f>
        <v>66</v>
      </c>
      <c r="L258" s="1">
        <f t="shared" ref="L258:L321" si="14">IFERROR(F258/G258*K258,0)</f>
        <v>1680.5844</v>
      </c>
    </row>
    <row r="259" spans="1:12" x14ac:dyDescent="0.35">
      <c r="A259" t="s">
        <v>368</v>
      </c>
      <c r="B259" t="s">
        <v>22</v>
      </c>
      <c r="C259" t="s">
        <v>23</v>
      </c>
      <c r="D259" t="s">
        <v>24</v>
      </c>
      <c r="E259">
        <v>2</v>
      </c>
      <c r="F259">
        <v>4071.1786999999999</v>
      </c>
      <c r="G259">
        <v>4428</v>
      </c>
      <c r="H259">
        <v>104</v>
      </c>
      <c r="I259">
        <v>130.1</v>
      </c>
      <c r="J259">
        <f t="shared" si="12"/>
        <v>34.035357417371252</v>
      </c>
      <c r="K259">
        <f t="shared" si="13"/>
        <v>1825.9999999999998</v>
      </c>
      <c r="L259" s="1">
        <f t="shared" si="14"/>
        <v>1678.8555343721769</v>
      </c>
    </row>
    <row r="260" spans="1:12" x14ac:dyDescent="0.35">
      <c r="A260" t="s">
        <v>369</v>
      </c>
      <c r="B260" t="s">
        <v>22</v>
      </c>
      <c r="C260" t="s">
        <v>34</v>
      </c>
      <c r="D260" t="s">
        <v>61</v>
      </c>
      <c r="E260">
        <v>2</v>
      </c>
      <c r="F260">
        <v>6396.2567999999992</v>
      </c>
      <c r="G260">
        <v>1836</v>
      </c>
      <c r="H260">
        <v>68</v>
      </c>
      <c r="I260">
        <v>54.4</v>
      </c>
      <c r="J260">
        <f t="shared" si="12"/>
        <v>27</v>
      </c>
      <c r="K260">
        <f t="shared" si="13"/>
        <v>476</v>
      </c>
      <c r="L260" s="1">
        <f t="shared" si="14"/>
        <v>1658.2887999999998</v>
      </c>
    </row>
    <row r="261" spans="1:12" x14ac:dyDescent="0.35">
      <c r="A261" t="s">
        <v>370</v>
      </c>
      <c r="B261" t="s">
        <v>43</v>
      </c>
      <c r="C261" t="s">
        <v>201</v>
      </c>
      <c r="D261" t="s">
        <v>201</v>
      </c>
      <c r="E261">
        <v>1</v>
      </c>
      <c r="F261">
        <v>1655.0187000000001</v>
      </c>
      <c r="G261">
        <v>3</v>
      </c>
      <c r="H261">
        <v>0</v>
      </c>
      <c r="I261">
        <v>0</v>
      </c>
      <c r="J261" t="str">
        <f t="shared" si="12"/>
        <v>no usage/demand</v>
      </c>
      <c r="K261">
        <f t="shared" si="13"/>
        <v>3</v>
      </c>
      <c r="L261" s="1">
        <f t="shared" si="14"/>
        <v>1655.0187000000001</v>
      </c>
    </row>
    <row r="262" spans="1:12" x14ac:dyDescent="0.35">
      <c r="A262" t="s">
        <v>297</v>
      </c>
      <c r="B262" t="s">
        <v>37</v>
      </c>
      <c r="C262" t="s">
        <v>68</v>
      </c>
      <c r="D262" t="s">
        <v>68</v>
      </c>
      <c r="E262">
        <v>1</v>
      </c>
      <c r="F262">
        <v>2058.8724000000002</v>
      </c>
      <c r="G262">
        <v>492</v>
      </c>
      <c r="H262">
        <v>0</v>
      </c>
      <c r="I262">
        <v>5.0999999999999996</v>
      </c>
      <c r="J262">
        <f t="shared" si="12"/>
        <v>96.47058823529413</v>
      </c>
      <c r="K262">
        <f t="shared" si="13"/>
        <v>390.00000000000006</v>
      </c>
      <c r="L262" s="1">
        <f t="shared" si="14"/>
        <v>1632.0330000000004</v>
      </c>
    </row>
    <row r="263" spans="1:12" x14ac:dyDescent="0.35">
      <c r="A263" t="s">
        <v>371</v>
      </c>
      <c r="B263" t="s">
        <v>22</v>
      </c>
      <c r="C263" t="s">
        <v>23</v>
      </c>
      <c r="D263" t="s">
        <v>24</v>
      </c>
      <c r="E263">
        <v>1</v>
      </c>
      <c r="F263">
        <v>2166.6239999999998</v>
      </c>
      <c r="G263">
        <v>480</v>
      </c>
      <c r="H263">
        <v>6</v>
      </c>
      <c r="I263">
        <v>0.9</v>
      </c>
      <c r="J263">
        <f t="shared" si="12"/>
        <v>80</v>
      </c>
      <c r="K263">
        <f t="shared" si="13"/>
        <v>360</v>
      </c>
      <c r="L263" s="1">
        <f t="shared" si="14"/>
        <v>1624.9679999999998</v>
      </c>
    </row>
    <row r="264" spans="1:12" x14ac:dyDescent="0.35">
      <c r="A264" t="s">
        <v>372</v>
      </c>
      <c r="B264" t="s">
        <v>22</v>
      </c>
      <c r="C264" t="s">
        <v>34</v>
      </c>
      <c r="D264" t="s">
        <v>35</v>
      </c>
      <c r="E264">
        <v>2</v>
      </c>
      <c r="F264">
        <v>79676.25480000001</v>
      </c>
      <c r="G264">
        <v>43524</v>
      </c>
      <c r="H264">
        <v>2132</v>
      </c>
      <c r="I264">
        <v>1215.5999999999999</v>
      </c>
      <c r="J264">
        <f t="shared" si="12"/>
        <v>20.414634146341463</v>
      </c>
      <c r="K264">
        <f t="shared" si="13"/>
        <v>883.99999999999886</v>
      </c>
      <c r="L264" s="1">
        <f t="shared" si="14"/>
        <v>1618.2751870967722</v>
      </c>
    </row>
    <row r="265" spans="1:12" x14ac:dyDescent="0.35">
      <c r="A265" t="s">
        <v>373</v>
      </c>
      <c r="B265" t="s">
        <v>16</v>
      </c>
      <c r="C265" t="s">
        <v>142</v>
      </c>
      <c r="D265" t="s">
        <v>142</v>
      </c>
      <c r="E265">
        <v>1</v>
      </c>
      <c r="F265">
        <v>4227.3</v>
      </c>
      <c r="G265">
        <v>55</v>
      </c>
      <c r="H265">
        <v>1</v>
      </c>
      <c r="I265">
        <v>1.7</v>
      </c>
      <c r="J265">
        <f t="shared" si="12"/>
        <v>32.352941176470587</v>
      </c>
      <c r="K265">
        <f t="shared" si="13"/>
        <v>20.999999999999996</v>
      </c>
      <c r="L265" s="1">
        <f t="shared" si="14"/>
        <v>1614.0599999999997</v>
      </c>
    </row>
    <row r="266" spans="1:12" x14ac:dyDescent="0.35">
      <c r="A266" t="s">
        <v>374</v>
      </c>
      <c r="B266" t="s">
        <v>22</v>
      </c>
      <c r="C266" t="s">
        <v>274</v>
      </c>
      <c r="D266" t="s">
        <v>275</v>
      </c>
      <c r="E266">
        <v>2</v>
      </c>
      <c r="F266">
        <v>3595.4063999999998</v>
      </c>
      <c r="G266">
        <v>3672</v>
      </c>
      <c r="H266">
        <v>3</v>
      </c>
      <c r="I266">
        <v>102.5</v>
      </c>
      <c r="J266">
        <f t="shared" si="12"/>
        <v>35.824390243902442</v>
      </c>
      <c r="K266">
        <f t="shared" si="13"/>
        <v>1622.0000000000005</v>
      </c>
      <c r="L266" s="1">
        <f t="shared" si="14"/>
        <v>1588.1669882352944</v>
      </c>
    </row>
    <row r="267" spans="1:12" x14ac:dyDescent="0.35">
      <c r="A267" t="s">
        <v>375</v>
      </c>
      <c r="B267" t="s">
        <v>22</v>
      </c>
      <c r="C267" t="s">
        <v>53</v>
      </c>
      <c r="D267" t="s">
        <v>54</v>
      </c>
      <c r="E267">
        <v>1</v>
      </c>
      <c r="F267">
        <v>6852.6432000000004</v>
      </c>
      <c r="G267">
        <v>864</v>
      </c>
      <c r="H267">
        <v>17</v>
      </c>
      <c r="I267">
        <v>33.200000000000003</v>
      </c>
      <c r="J267">
        <f t="shared" si="12"/>
        <v>26.024096385542165</v>
      </c>
      <c r="K267">
        <f t="shared" si="13"/>
        <v>199.99999999999991</v>
      </c>
      <c r="L267" s="1">
        <f t="shared" si="14"/>
        <v>1586.2599999999993</v>
      </c>
    </row>
    <row r="268" spans="1:12" x14ac:dyDescent="0.35">
      <c r="A268" t="s">
        <v>376</v>
      </c>
      <c r="B268" t="s">
        <v>88</v>
      </c>
      <c r="C268" t="s">
        <v>89</v>
      </c>
      <c r="D268" t="s">
        <v>89</v>
      </c>
      <c r="E268">
        <v>1</v>
      </c>
      <c r="F268">
        <v>4532.8680000000004</v>
      </c>
      <c r="G268">
        <v>564</v>
      </c>
      <c r="H268">
        <v>4</v>
      </c>
      <c r="I268">
        <v>18.5</v>
      </c>
      <c r="J268">
        <f t="shared" si="12"/>
        <v>30.486486486486488</v>
      </c>
      <c r="K268">
        <f t="shared" si="13"/>
        <v>194.00000000000003</v>
      </c>
      <c r="L268" s="1">
        <f t="shared" si="14"/>
        <v>1559.1780000000003</v>
      </c>
    </row>
    <row r="269" spans="1:12" x14ac:dyDescent="0.35">
      <c r="A269" t="s">
        <v>377</v>
      </c>
      <c r="B269" t="s">
        <v>22</v>
      </c>
      <c r="C269" t="s">
        <v>23</v>
      </c>
      <c r="D269" t="s">
        <v>24</v>
      </c>
      <c r="E269">
        <v>1</v>
      </c>
      <c r="F269">
        <v>2228.8319999999999</v>
      </c>
      <c r="G269">
        <v>1704</v>
      </c>
      <c r="H269">
        <v>18</v>
      </c>
      <c r="I269">
        <v>25.8</v>
      </c>
      <c r="J269">
        <f t="shared" si="12"/>
        <v>66.04651162790698</v>
      </c>
      <c r="K269">
        <f t="shared" si="13"/>
        <v>1188.0000000000002</v>
      </c>
      <c r="L269" s="1">
        <f t="shared" si="14"/>
        <v>1553.904</v>
      </c>
    </row>
    <row r="270" spans="1:12" x14ac:dyDescent="0.35">
      <c r="A270" t="s">
        <v>378</v>
      </c>
      <c r="B270" t="s">
        <v>22</v>
      </c>
      <c r="C270" t="s">
        <v>78</v>
      </c>
      <c r="D270" t="s">
        <v>379</v>
      </c>
      <c r="E270">
        <v>2</v>
      </c>
      <c r="F270">
        <v>2510.6329000000001</v>
      </c>
      <c r="G270">
        <v>2340</v>
      </c>
      <c r="H270">
        <v>45</v>
      </c>
      <c r="I270">
        <v>13.8</v>
      </c>
      <c r="J270">
        <f t="shared" si="12"/>
        <v>52</v>
      </c>
      <c r="K270">
        <f t="shared" si="13"/>
        <v>1440</v>
      </c>
      <c r="L270" s="1">
        <f t="shared" si="14"/>
        <v>1545.0048615384615</v>
      </c>
    </row>
    <row r="271" spans="1:12" x14ac:dyDescent="0.35">
      <c r="A271" t="s">
        <v>380</v>
      </c>
      <c r="B271" t="s">
        <v>19</v>
      </c>
      <c r="C271" t="s">
        <v>239</v>
      </c>
      <c r="D271" t="s">
        <v>239</v>
      </c>
      <c r="E271">
        <v>1</v>
      </c>
      <c r="F271">
        <v>4520</v>
      </c>
      <c r="G271">
        <v>2000</v>
      </c>
      <c r="H271">
        <v>66</v>
      </c>
      <c r="I271">
        <v>43.1</v>
      </c>
      <c r="J271">
        <f t="shared" si="12"/>
        <v>30.303030303030305</v>
      </c>
      <c r="K271">
        <f t="shared" si="13"/>
        <v>680.00000000000011</v>
      </c>
      <c r="L271" s="1">
        <f t="shared" si="14"/>
        <v>1536.8000000000002</v>
      </c>
    </row>
    <row r="272" spans="1:12" x14ac:dyDescent="0.35">
      <c r="A272" t="s">
        <v>381</v>
      </c>
      <c r="B272" t="s">
        <v>22</v>
      </c>
      <c r="C272" t="s">
        <v>23</v>
      </c>
      <c r="D272" t="s">
        <v>24</v>
      </c>
      <c r="E272">
        <v>1</v>
      </c>
      <c r="F272">
        <v>8493.0540000000001</v>
      </c>
      <c r="G272">
        <v>804</v>
      </c>
      <c r="H272">
        <v>33</v>
      </c>
      <c r="I272">
        <v>25.8</v>
      </c>
      <c r="J272">
        <f t="shared" si="12"/>
        <v>24.363636363636363</v>
      </c>
      <c r="K272">
        <f t="shared" si="13"/>
        <v>144</v>
      </c>
      <c r="L272" s="1">
        <f t="shared" si="14"/>
        <v>1521.144</v>
      </c>
    </row>
    <row r="273" spans="1:12" x14ac:dyDescent="0.35">
      <c r="A273" t="s">
        <v>382</v>
      </c>
      <c r="B273" t="s">
        <v>22</v>
      </c>
      <c r="C273" t="s">
        <v>34</v>
      </c>
      <c r="D273" t="s">
        <v>61</v>
      </c>
      <c r="E273">
        <v>2</v>
      </c>
      <c r="F273">
        <v>2536.2384000000002</v>
      </c>
      <c r="G273">
        <v>696</v>
      </c>
      <c r="H273">
        <v>14</v>
      </c>
      <c r="I273">
        <v>7.4</v>
      </c>
      <c r="J273">
        <f t="shared" si="12"/>
        <v>49.714285714285715</v>
      </c>
      <c r="K273">
        <f t="shared" si="13"/>
        <v>416</v>
      </c>
      <c r="L273" s="1">
        <f t="shared" si="14"/>
        <v>1515.9126068965518</v>
      </c>
    </row>
    <row r="274" spans="1:12" x14ac:dyDescent="0.35">
      <c r="A274" t="s">
        <v>383</v>
      </c>
      <c r="B274" t="s">
        <v>22</v>
      </c>
      <c r="C274" t="s">
        <v>53</v>
      </c>
      <c r="D274" t="s">
        <v>154</v>
      </c>
      <c r="E274">
        <v>1</v>
      </c>
      <c r="F274">
        <v>4033.4112</v>
      </c>
      <c r="G274">
        <v>2592</v>
      </c>
      <c r="H274">
        <v>81</v>
      </c>
      <c r="I274">
        <v>72</v>
      </c>
      <c r="J274">
        <f t="shared" si="12"/>
        <v>32</v>
      </c>
      <c r="K274">
        <f t="shared" si="13"/>
        <v>972</v>
      </c>
      <c r="L274" s="1">
        <f t="shared" si="14"/>
        <v>1512.5291999999999</v>
      </c>
    </row>
    <row r="275" spans="1:12" x14ac:dyDescent="0.35">
      <c r="A275" t="s">
        <v>384</v>
      </c>
      <c r="B275" t="s">
        <v>22</v>
      </c>
      <c r="C275" t="s">
        <v>274</v>
      </c>
      <c r="D275" t="s">
        <v>275</v>
      </c>
      <c r="E275">
        <v>1</v>
      </c>
      <c r="F275">
        <v>1681.3921</v>
      </c>
      <c r="G275">
        <v>2208</v>
      </c>
      <c r="H275">
        <v>0</v>
      </c>
      <c r="I275">
        <v>11.1</v>
      </c>
      <c r="J275">
        <f t="shared" si="12"/>
        <v>198.91891891891893</v>
      </c>
      <c r="K275">
        <f t="shared" si="13"/>
        <v>1986</v>
      </c>
      <c r="L275" s="1">
        <f t="shared" si="14"/>
        <v>1512.3390899456522</v>
      </c>
    </row>
    <row r="276" spans="1:12" x14ac:dyDescent="0.35">
      <c r="A276" t="s">
        <v>385</v>
      </c>
      <c r="B276" t="s">
        <v>110</v>
      </c>
      <c r="C276" t="s">
        <v>170</v>
      </c>
      <c r="D276" t="s">
        <v>171</v>
      </c>
      <c r="E276">
        <v>1</v>
      </c>
      <c r="F276">
        <v>2100</v>
      </c>
      <c r="G276">
        <v>210</v>
      </c>
      <c r="H276">
        <v>3</v>
      </c>
      <c r="I276">
        <v>0</v>
      </c>
      <c r="J276">
        <f t="shared" si="12"/>
        <v>70</v>
      </c>
      <c r="K276">
        <f t="shared" si="13"/>
        <v>150</v>
      </c>
      <c r="L276" s="1">
        <f t="shared" si="14"/>
        <v>1500</v>
      </c>
    </row>
    <row r="277" spans="1:12" x14ac:dyDescent="0.35">
      <c r="A277" t="s">
        <v>386</v>
      </c>
      <c r="B277" t="s">
        <v>22</v>
      </c>
      <c r="C277" t="s">
        <v>23</v>
      </c>
      <c r="D277" t="s">
        <v>24</v>
      </c>
      <c r="E277">
        <v>1</v>
      </c>
      <c r="F277">
        <v>3933.2303999999999</v>
      </c>
      <c r="G277">
        <v>744</v>
      </c>
      <c r="H277">
        <v>10</v>
      </c>
      <c r="I277">
        <v>23.1</v>
      </c>
      <c r="J277">
        <f t="shared" si="12"/>
        <v>32.207792207792203</v>
      </c>
      <c r="K277">
        <f t="shared" si="13"/>
        <v>281.99999999999989</v>
      </c>
      <c r="L277" s="1">
        <f t="shared" si="14"/>
        <v>1490.8211999999994</v>
      </c>
    </row>
    <row r="278" spans="1:12" x14ac:dyDescent="0.35">
      <c r="A278" t="s">
        <v>387</v>
      </c>
      <c r="B278" t="s">
        <v>88</v>
      </c>
      <c r="C278" t="s">
        <v>89</v>
      </c>
      <c r="D278" t="s">
        <v>89</v>
      </c>
      <c r="E278">
        <v>1</v>
      </c>
      <c r="F278">
        <v>2059.5816</v>
      </c>
      <c r="G278">
        <v>216</v>
      </c>
      <c r="H278">
        <v>3</v>
      </c>
      <c r="I278">
        <v>0</v>
      </c>
      <c r="J278">
        <f t="shared" si="12"/>
        <v>72</v>
      </c>
      <c r="K278">
        <f t="shared" si="13"/>
        <v>156</v>
      </c>
      <c r="L278" s="1">
        <f t="shared" si="14"/>
        <v>1487.4756</v>
      </c>
    </row>
    <row r="279" spans="1:12" x14ac:dyDescent="0.35">
      <c r="A279" t="s">
        <v>388</v>
      </c>
      <c r="B279" t="s">
        <v>22</v>
      </c>
      <c r="C279" t="s">
        <v>78</v>
      </c>
      <c r="D279" t="s">
        <v>379</v>
      </c>
      <c r="E279">
        <v>1</v>
      </c>
      <c r="F279">
        <v>4384.7892000000002</v>
      </c>
      <c r="G279">
        <v>2916</v>
      </c>
      <c r="H279">
        <v>97</v>
      </c>
      <c r="I279">
        <v>0</v>
      </c>
      <c r="J279">
        <f t="shared" si="12"/>
        <v>30.061855670103093</v>
      </c>
      <c r="K279">
        <f t="shared" si="13"/>
        <v>976</v>
      </c>
      <c r="L279" s="1">
        <f t="shared" si="14"/>
        <v>1467.6112000000001</v>
      </c>
    </row>
    <row r="280" spans="1:12" x14ac:dyDescent="0.35">
      <c r="A280" t="s">
        <v>389</v>
      </c>
      <c r="B280" t="s">
        <v>22</v>
      </c>
      <c r="C280" t="s">
        <v>23</v>
      </c>
      <c r="D280" t="s">
        <v>24</v>
      </c>
      <c r="E280">
        <v>1</v>
      </c>
      <c r="F280">
        <v>3616.6368000000002</v>
      </c>
      <c r="G280">
        <v>672</v>
      </c>
      <c r="H280">
        <v>20</v>
      </c>
      <c r="I280">
        <v>12</v>
      </c>
      <c r="J280">
        <f t="shared" si="12"/>
        <v>33.6</v>
      </c>
      <c r="K280">
        <f t="shared" si="13"/>
        <v>272</v>
      </c>
      <c r="L280" s="1">
        <f t="shared" si="14"/>
        <v>1463.8768</v>
      </c>
    </row>
    <row r="281" spans="1:12" x14ac:dyDescent="0.35">
      <c r="A281" t="s">
        <v>390</v>
      </c>
      <c r="B281" t="s">
        <v>22</v>
      </c>
      <c r="C281" t="s">
        <v>34</v>
      </c>
      <c r="D281" t="s">
        <v>61</v>
      </c>
      <c r="E281">
        <v>2</v>
      </c>
      <c r="F281">
        <v>1447.95</v>
      </c>
      <c r="G281">
        <v>120</v>
      </c>
      <c r="H281">
        <v>0</v>
      </c>
      <c r="I281">
        <v>0</v>
      </c>
      <c r="J281" t="str">
        <f t="shared" si="12"/>
        <v>no usage/demand</v>
      </c>
      <c r="K281">
        <f t="shared" si="13"/>
        <v>120</v>
      </c>
      <c r="L281" s="1">
        <f t="shared" si="14"/>
        <v>1447.95</v>
      </c>
    </row>
    <row r="282" spans="1:12" x14ac:dyDescent="0.35">
      <c r="A282" t="s">
        <v>391</v>
      </c>
      <c r="B282" t="s">
        <v>22</v>
      </c>
      <c r="C282" t="s">
        <v>34</v>
      </c>
      <c r="D282" t="s">
        <v>35</v>
      </c>
      <c r="E282">
        <v>2</v>
      </c>
      <c r="F282">
        <v>2519.0567999999998</v>
      </c>
      <c r="G282">
        <v>2052</v>
      </c>
      <c r="H282">
        <v>38</v>
      </c>
      <c r="I282">
        <v>44.3</v>
      </c>
      <c r="J282">
        <f t="shared" si="12"/>
        <v>46.32054176072235</v>
      </c>
      <c r="K282">
        <f t="shared" si="13"/>
        <v>1166</v>
      </c>
      <c r="L282" s="1">
        <f t="shared" si="14"/>
        <v>1431.3938736842106</v>
      </c>
    </row>
    <row r="283" spans="1:12" x14ac:dyDescent="0.35">
      <c r="A283" t="s">
        <v>392</v>
      </c>
      <c r="B283" t="s">
        <v>22</v>
      </c>
      <c r="C283" t="s">
        <v>34</v>
      </c>
      <c r="D283" t="s">
        <v>96</v>
      </c>
      <c r="E283">
        <v>2</v>
      </c>
      <c r="F283">
        <v>1900.1376</v>
      </c>
      <c r="G283">
        <v>792</v>
      </c>
      <c r="H283">
        <v>10</v>
      </c>
      <c r="I283">
        <v>1.8</v>
      </c>
      <c r="J283">
        <f t="shared" si="12"/>
        <v>79.2</v>
      </c>
      <c r="K283">
        <f t="shared" si="13"/>
        <v>592</v>
      </c>
      <c r="L283" s="1">
        <f t="shared" si="14"/>
        <v>1420.3048727272728</v>
      </c>
    </row>
    <row r="284" spans="1:12" x14ac:dyDescent="0.35">
      <c r="A284" t="s">
        <v>393</v>
      </c>
      <c r="B284" t="s">
        <v>16</v>
      </c>
      <c r="C284" t="s">
        <v>17</v>
      </c>
      <c r="D284" t="s">
        <v>17</v>
      </c>
      <c r="E284">
        <v>1</v>
      </c>
      <c r="F284">
        <v>13345.5</v>
      </c>
      <c r="G284">
        <v>5250</v>
      </c>
      <c r="H284">
        <v>202</v>
      </c>
      <c r="I284">
        <v>234.6</v>
      </c>
      <c r="J284">
        <f t="shared" si="12"/>
        <v>22.37851662404092</v>
      </c>
      <c r="K284">
        <f t="shared" si="13"/>
        <v>557.99999999999977</v>
      </c>
      <c r="L284" s="1">
        <f t="shared" si="14"/>
        <v>1418.4359999999992</v>
      </c>
    </row>
    <row r="285" spans="1:12" x14ac:dyDescent="0.35">
      <c r="A285" t="s">
        <v>394</v>
      </c>
      <c r="B285" t="s">
        <v>22</v>
      </c>
      <c r="C285" t="s">
        <v>53</v>
      </c>
      <c r="D285" t="s">
        <v>54</v>
      </c>
      <c r="E285">
        <v>2</v>
      </c>
      <c r="F285">
        <v>2341.0079999999998</v>
      </c>
      <c r="G285">
        <v>1224</v>
      </c>
      <c r="H285">
        <v>25</v>
      </c>
      <c r="I285">
        <v>0</v>
      </c>
      <c r="J285">
        <f t="shared" si="12"/>
        <v>48.96</v>
      </c>
      <c r="K285">
        <f t="shared" si="13"/>
        <v>724</v>
      </c>
      <c r="L285" s="1">
        <f t="shared" si="14"/>
        <v>1384.713882352941</v>
      </c>
    </row>
    <row r="286" spans="1:12" x14ac:dyDescent="0.35">
      <c r="A286" t="s">
        <v>395</v>
      </c>
      <c r="B286" t="s">
        <v>37</v>
      </c>
      <c r="C286" t="s">
        <v>396</v>
      </c>
      <c r="D286" t="s">
        <v>396</v>
      </c>
      <c r="E286">
        <v>1</v>
      </c>
      <c r="F286">
        <v>1384.3152</v>
      </c>
      <c r="G286">
        <v>251</v>
      </c>
      <c r="H286">
        <v>0</v>
      </c>
      <c r="I286">
        <v>0</v>
      </c>
      <c r="J286" t="str">
        <f t="shared" si="12"/>
        <v>no usage/demand</v>
      </c>
      <c r="K286">
        <f t="shared" si="13"/>
        <v>251</v>
      </c>
      <c r="L286" s="1">
        <f t="shared" si="14"/>
        <v>1384.3152</v>
      </c>
    </row>
    <row r="287" spans="1:12" x14ac:dyDescent="0.35">
      <c r="A287" t="s">
        <v>397</v>
      </c>
      <c r="B287" t="s">
        <v>22</v>
      </c>
      <c r="C287" t="s">
        <v>34</v>
      </c>
      <c r="D287" t="s">
        <v>35</v>
      </c>
      <c r="E287">
        <v>2</v>
      </c>
      <c r="F287">
        <v>2214.0288999999998</v>
      </c>
      <c r="G287">
        <v>1332</v>
      </c>
      <c r="H287">
        <v>25</v>
      </c>
      <c r="I287">
        <v>8.3000000000000007</v>
      </c>
      <c r="J287">
        <f t="shared" si="12"/>
        <v>53.28</v>
      </c>
      <c r="K287">
        <f t="shared" si="13"/>
        <v>832</v>
      </c>
      <c r="L287" s="1">
        <f t="shared" si="14"/>
        <v>1382.9369705705703</v>
      </c>
    </row>
    <row r="288" spans="1:12" x14ac:dyDescent="0.35">
      <c r="A288" t="s">
        <v>398</v>
      </c>
      <c r="B288" t="s">
        <v>22</v>
      </c>
      <c r="C288" t="s">
        <v>34</v>
      </c>
      <c r="D288" t="s">
        <v>96</v>
      </c>
      <c r="E288">
        <v>2</v>
      </c>
      <c r="F288">
        <v>1380.7919999999999</v>
      </c>
      <c r="G288">
        <v>552</v>
      </c>
      <c r="H288">
        <v>0</v>
      </c>
      <c r="I288">
        <v>0</v>
      </c>
      <c r="J288" t="str">
        <f t="shared" si="12"/>
        <v>no usage/demand</v>
      </c>
      <c r="K288">
        <f t="shared" si="13"/>
        <v>552</v>
      </c>
      <c r="L288" s="1">
        <f t="shared" si="14"/>
        <v>1380.7919999999999</v>
      </c>
    </row>
    <row r="289" spans="1:12" x14ac:dyDescent="0.35">
      <c r="A289" t="s">
        <v>399</v>
      </c>
      <c r="B289" t="s">
        <v>37</v>
      </c>
      <c r="C289" t="s">
        <v>336</v>
      </c>
      <c r="D289" t="s">
        <v>336</v>
      </c>
      <c r="E289">
        <v>1</v>
      </c>
      <c r="F289">
        <v>3258.3679000000002</v>
      </c>
      <c r="G289">
        <v>370</v>
      </c>
      <c r="H289">
        <v>0</v>
      </c>
      <c r="I289">
        <v>10.7</v>
      </c>
      <c r="J289">
        <f t="shared" si="12"/>
        <v>34.579439252336449</v>
      </c>
      <c r="K289">
        <f t="shared" si="13"/>
        <v>156</v>
      </c>
      <c r="L289" s="1">
        <f t="shared" si="14"/>
        <v>1373.7983578378378</v>
      </c>
    </row>
    <row r="290" spans="1:12" x14ac:dyDescent="0.35">
      <c r="A290" t="s">
        <v>400</v>
      </c>
      <c r="B290" t="s">
        <v>16</v>
      </c>
      <c r="C290" t="s">
        <v>401</v>
      </c>
      <c r="D290" t="s">
        <v>401</v>
      </c>
      <c r="E290">
        <v>1</v>
      </c>
      <c r="F290">
        <v>3248.64</v>
      </c>
      <c r="G290">
        <v>5400</v>
      </c>
      <c r="H290">
        <v>158</v>
      </c>
      <c r="I290">
        <v>46.2</v>
      </c>
      <c r="J290">
        <f t="shared" si="12"/>
        <v>34.177215189873415</v>
      </c>
      <c r="K290">
        <f t="shared" si="13"/>
        <v>2239.9999999999995</v>
      </c>
      <c r="L290" s="1">
        <f t="shared" si="14"/>
        <v>1347.5839999999998</v>
      </c>
    </row>
    <row r="291" spans="1:12" x14ac:dyDescent="0.35">
      <c r="A291" t="s">
        <v>402</v>
      </c>
      <c r="B291" t="s">
        <v>22</v>
      </c>
      <c r="C291" t="s">
        <v>23</v>
      </c>
      <c r="D291" t="s">
        <v>24</v>
      </c>
      <c r="E291">
        <v>1</v>
      </c>
      <c r="F291">
        <v>3729.3072000000002</v>
      </c>
      <c r="G291">
        <v>1752</v>
      </c>
      <c r="H291">
        <v>56</v>
      </c>
      <c r="I291">
        <v>33.200000000000003</v>
      </c>
      <c r="J291">
        <f t="shared" si="12"/>
        <v>31.285714285714285</v>
      </c>
      <c r="K291">
        <f t="shared" si="13"/>
        <v>632</v>
      </c>
      <c r="L291" s="1">
        <f t="shared" si="14"/>
        <v>1345.2752</v>
      </c>
    </row>
    <row r="292" spans="1:12" x14ac:dyDescent="0.35">
      <c r="A292" t="s">
        <v>123</v>
      </c>
      <c r="B292" t="s">
        <v>40</v>
      </c>
      <c r="C292" t="s">
        <v>124</v>
      </c>
      <c r="D292" t="s">
        <v>124</v>
      </c>
      <c r="E292">
        <v>1</v>
      </c>
      <c r="F292">
        <v>1779.5119999999999</v>
      </c>
      <c r="G292">
        <v>56</v>
      </c>
      <c r="H292">
        <v>0</v>
      </c>
      <c r="I292">
        <v>0.7</v>
      </c>
      <c r="J292">
        <f t="shared" si="12"/>
        <v>80</v>
      </c>
      <c r="K292">
        <f t="shared" si="13"/>
        <v>42</v>
      </c>
      <c r="L292" s="1">
        <f t="shared" si="14"/>
        <v>1334.6339999999998</v>
      </c>
    </row>
    <row r="293" spans="1:12" x14ac:dyDescent="0.35">
      <c r="A293" t="s">
        <v>403</v>
      </c>
      <c r="B293" t="s">
        <v>37</v>
      </c>
      <c r="C293" t="s">
        <v>68</v>
      </c>
      <c r="D293" t="s">
        <v>68</v>
      </c>
      <c r="E293">
        <v>1</v>
      </c>
      <c r="F293">
        <v>1334.3223</v>
      </c>
      <c r="G293">
        <v>291</v>
      </c>
      <c r="H293">
        <v>0</v>
      </c>
      <c r="I293">
        <v>0</v>
      </c>
      <c r="J293" t="str">
        <f t="shared" si="12"/>
        <v>no usage/demand</v>
      </c>
      <c r="K293">
        <f t="shared" si="13"/>
        <v>291</v>
      </c>
      <c r="L293" s="1">
        <f t="shared" si="14"/>
        <v>1334.3223</v>
      </c>
    </row>
    <row r="294" spans="1:12" x14ac:dyDescent="0.35">
      <c r="A294" t="s">
        <v>404</v>
      </c>
      <c r="B294" t="s">
        <v>88</v>
      </c>
      <c r="C294" t="s">
        <v>213</v>
      </c>
      <c r="D294" t="s">
        <v>213</v>
      </c>
      <c r="E294">
        <v>1</v>
      </c>
      <c r="F294">
        <v>1920.3804</v>
      </c>
      <c r="G294">
        <v>324</v>
      </c>
      <c r="H294">
        <v>5</v>
      </c>
      <c r="I294">
        <v>3.7</v>
      </c>
      <c r="J294">
        <f t="shared" si="12"/>
        <v>64.8</v>
      </c>
      <c r="K294">
        <f t="shared" si="13"/>
        <v>224</v>
      </c>
      <c r="L294" s="1">
        <f t="shared" si="14"/>
        <v>1327.6704</v>
      </c>
    </row>
    <row r="295" spans="1:12" x14ac:dyDescent="0.35">
      <c r="A295" t="s">
        <v>405</v>
      </c>
      <c r="B295" t="s">
        <v>81</v>
      </c>
      <c r="C295" t="s">
        <v>406</v>
      </c>
      <c r="D295" t="s">
        <v>406</v>
      </c>
      <c r="E295">
        <v>1</v>
      </c>
      <c r="F295">
        <v>1325</v>
      </c>
      <c r="G295">
        <v>1</v>
      </c>
      <c r="H295">
        <v>0</v>
      </c>
      <c r="I295">
        <v>0</v>
      </c>
      <c r="J295" t="str">
        <f t="shared" si="12"/>
        <v>no usage/demand</v>
      </c>
      <c r="K295">
        <f t="shared" si="13"/>
        <v>1</v>
      </c>
      <c r="L295" s="1">
        <f t="shared" si="14"/>
        <v>1325</v>
      </c>
    </row>
    <row r="296" spans="1:12" x14ac:dyDescent="0.35">
      <c r="A296" t="s">
        <v>407</v>
      </c>
      <c r="B296" t="s">
        <v>22</v>
      </c>
      <c r="C296" t="s">
        <v>53</v>
      </c>
      <c r="D296" t="s">
        <v>54</v>
      </c>
      <c r="E296">
        <v>1</v>
      </c>
      <c r="F296">
        <v>1680.3024</v>
      </c>
      <c r="G296">
        <v>168</v>
      </c>
      <c r="H296">
        <v>0</v>
      </c>
      <c r="I296">
        <v>1.8</v>
      </c>
      <c r="J296">
        <f t="shared" si="12"/>
        <v>93.333333333333329</v>
      </c>
      <c r="K296">
        <f t="shared" si="13"/>
        <v>132</v>
      </c>
      <c r="L296" s="1">
        <f t="shared" si="14"/>
        <v>1320.2375999999999</v>
      </c>
    </row>
    <row r="297" spans="1:12" x14ac:dyDescent="0.35">
      <c r="A297" t="s">
        <v>408</v>
      </c>
      <c r="B297" t="s">
        <v>22</v>
      </c>
      <c r="C297" t="s">
        <v>274</v>
      </c>
      <c r="D297" t="s">
        <v>275</v>
      </c>
      <c r="E297">
        <v>1</v>
      </c>
      <c r="F297">
        <v>1785.9059999999999</v>
      </c>
      <c r="G297">
        <v>1692</v>
      </c>
      <c r="H297">
        <v>20</v>
      </c>
      <c r="I297">
        <v>22.2</v>
      </c>
      <c r="J297">
        <f t="shared" si="12"/>
        <v>76.216216216216225</v>
      </c>
      <c r="K297">
        <f t="shared" si="13"/>
        <v>1248.0000000000002</v>
      </c>
      <c r="L297" s="1">
        <f t="shared" si="14"/>
        <v>1317.2640000000001</v>
      </c>
    </row>
    <row r="298" spans="1:12" x14ac:dyDescent="0.35">
      <c r="A298" t="s">
        <v>409</v>
      </c>
      <c r="B298" t="s">
        <v>22</v>
      </c>
      <c r="C298" t="s">
        <v>176</v>
      </c>
      <c r="D298" t="s">
        <v>177</v>
      </c>
      <c r="E298">
        <v>1</v>
      </c>
      <c r="F298">
        <v>1313.184</v>
      </c>
      <c r="G298">
        <v>480</v>
      </c>
      <c r="H298">
        <v>0</v>
      </c>
      <c r="I298">
        <v>0</v>
      </c>
      <c r="J298" t="str">
        <f t="shared" si="12"/>
        <v>no usage/demand</v>
      </c>
      <c r="K298">
        <f t="shared" si="13"/>
        <v>480</v>
      </c>
      <c r="L298" s="1">
        <f t="shared" si="14"/>
        <v>1313.184</v>
      </c>
    </row>
    <row r="299" spans="1:12" x14ac:dyDescent="0.35">
      <c r="A299" t="s">
        <v>410</v>
      </c>
      <c r="B299" t="s">
        <v>22</v>
      </c>
      <c r="C299" t="s">
        <v>274</v>
      </c>
      <c r="D299" t="s">
        <v>275</v>
      </c>
      <c r="E299">
        <v>1</v>
      </c>
      <c r="F299">
        <v>2697.6095999999998</v>
      </c>
      <c r="G299">
        <v>504</v>
      </c>
      <c r="H299">
        <v>13</v>
      </c>
      <c r="I299">
        <v>2.8</v>
      </c>
      <c r="J299">
        <f t="shared" si="12"/>
        <v>38.769230769230766</v>
      </c>
      <c r="K299">
        <f t="shared" si="13"/>
        <v>243.99999999999997</v>
      </c>
      <c r="L299" s="1">
        <f t="shared" si="14"/>
        <v>1305.9855999999997</v>
      </c>
    </row>
    <row r="300" spans="1:12" x14ac:dyDescent="0.35">
      <c r="A300" t="s">
        <v>411</v>
      </c>
      <c r="B300" t="s">
        <v>37</v>
      </c>
      <c r="C300" t="s">
        <v>396</v>
      </c>
      <c r="D300" t="s">
        <v>396</v>
      </c>
      <c r="E300">
        <v>1</v>
      </c>
      <c r="F300">
        <v>1321.9648999999999</v>
      </c>
      <c r="G300">
        <v>225</v>
      </c>
      <c r="H300">
        <v>0</v>
      </c>
      <c r="I300">
        <v>0.2</v>
      </c>
      <c r="J300">
        <f t="shared" si="12"/>
        <v>1125</v>
      </c>
      <c r="K300">
        <f t="shared" si="13"/>
        <v>221</v>
      </c>
      <c r="L300" s="1">
        <f t="shared" si="14"/>
        <v>1298.4633017777776</v>
      </c>
    </row>
    <row r="301" spans="1:12" x14ac:dyDescent="0.35">
      <c r="A301" t="s">
        <v>412</v>
      </c>
      <c r="B301" t="s">
        <v>22</v>
      </c>
      <c r="C301" t="s">
        <v>53</v>
      </c>
      <c r="D301" t="s">
        <v>54</v>
      </c>
      <c r="E301">
        <v>1</v>
      </c>
      <c r="F301">
        <v>1294.0596</v>
      </c>
      <c r="G301">
        <v>684</v>
      </c>
      <c r="H301">
        <v>0</v>
      </c>
      <c r="I301">
        <v>0</v>
      </c>
      <c r="J301" t="str">
        <f t="shared" si="12"/>
        <v>no usage/demand</v>
      </c>
      <c r="K301">
        <f t="shared" si="13"/>
        <v>684</v>
      </c>
      <c r="L301" s="1">
        <f t="shared" si="14"/>
        <v>1294.0596</v>
      </c>
    </row>
    <row r="302" spans="1:12" x14ac:dyDescent="0.35">
      <c r="A302" t="s">
        <v>413</v>
      </c>
      <c r="B302" t="s">
        <v>22</v>
      </c>
      <c r="C302" t="s">
        <v>78</v>
      </c>
      <c r="D302" t="s">
        <v>199</v>
      </c>
      <c r="E302">
        <v>2</v>
      </c>
      <c r="F302">
        <v>2772.3024</v>
      </c>
      <c r="G302">
        <v>2160</v>
      </c>
      <c r="H302">
        <v>58</v>
      </c>
      <c r="I302">
        <v>55.4</v>
      </c>
      <c r="J302">
        <f t="shared" si="12"/>
        <v>37.241379310344826</v>
      </c>
      <c r="K302">
        <f t="shared" si="13"/>
        <v>999.99999999999989</v>
      </c>
      <c r="L302" s="1">
        <f t="shared" si="14"/>
        <v>1283.4733333333331</v>
      </c>
    </row>
    <row r="303" spans="1:12" x14ac:dyDescent="0.35">
      <c r="A303" t="s">
        <v>414</v>
      </c>
      <c r="B303" t="s">
        <v>22</v>
      </c>
      <c r="C303" t="s">
        <v>34</v>
      </c>
      <c r="D303" t="s">
        <v>61</v>
      </c>
      <c r="E303">
        <v>1</v>
      </c>
      <c r="F303">
        <v>2021.7167999999999</v>
      </c>
      <c r="G303">
        <v>432</v>
      </c>
      <c r="H303">
        <v>8</v>
      </c>
      <c r="I303">
        <v>7.4</v>
      </c>
      <c r="J303">
        <f t="shared" si="12"/>
        <v>54</v>
      </c>
      <c r="K303">
        <f t="shared" si="13"/>
        <v>272</v>
      </c>
      <c r="L303" s="1">
        <f t="shared" si="14"/>
        <v>1272.9328</v>
      </c>
    </row>
    <row r="304" spans="1:12" x14ac:dyDescent="0.35">
      <c r="A304" t="s">
        <v>415</v>
      </c>
      <c r="B304" t="s">
        <v>37</v>
      </c>
      <c r="C304" t="s">
        <v>230</v>
      </c>
      <c r="D304" t="s">
        <v>230</v>
      </c>
      <c r="E304">
        <v>1</v>
      </c>
      <c r="F304">
        <v>6272.9477999999999</v>
      </c>
      <c r="G304">
        <v>567</v>
      </c>
      <c r="H304">
        <v>11</v>
      </c>
      <c r="I304">
        <v>22.6</v>
      </c>
      <c r="J304">
        <f t="shared" si="12"/>
        <v>25.088495575221238</v>
      </c>
      <c r="K304">
        <f t="shared" si="13"/>
        <v>114.99999999999999</v>
      </c>
      <c r="L304" s="1">
        <f t="shared" si="14"/>
        <v>1272.2909999999997</v>
      </c>
    </row>
    <row r="305" spans="1:12" x14ac:dyDescent="0.35">
      <c r="A305" t="s">
        <v>416</v>
      </c>
      <c r="B305" t="s">
        <v>22</v>
      </c>
      <c r="C305" t="s">
        <v>78</v>
      </c>
      <c r="D305" t="s">
        <v>199</v>
      </c>
      <c r="E305">
        <v>1</v>
      </c>
      <c r="F305">
        <v>1802.7360000000001</v>
      </c>
      <c r="G305">
        <v>1296</v>
      </c>
      <c r="H305">
        <v>14</v>
      </c>
      <c r="I305">
        <v>19.399999999999999</v>
      </c>
      <c r="J305">
        <f t="shared" si="12"/>
        <v>66.80412371134021</v>
      </c>
      <c r="K305">
        <f t="shared" si="13"/>
        <v>908</v>
      </c>
      <c r="L305" s="1">
        <f t="shared" si="14"/>
        <v>1263.028</v>
      </c>
    </row>
    <row r="306" spans="1:12" x14ac:dyDescent="0.35">
      <c r="A306" t="s">
        <v>417</v>
      </c>
      <c r="B306" t="s">
        <v>22</v>
      </c>
      <c r="C306" t="s">
        <v>53</v>
      </c>
      <c r="D306" t="s">
        <v>54</v>
      </c>
      <c r="E306">
        <v>2</v>
      </c>
      <c r="F306">
        <v>2613.5064000000002</v>
      </c>
      <c r="G306">
        <v>1116</v>
      </c>
      <c r="H306">
        <v>29</v>
      </c>
      <c r="I306">
        <v>13.8</v>
      </c>
      <c r="J306">
        <f t="shared" si="12"/>
        <v>38.482758620689658</v>
      </c>
      <c r="K306">
        <f t="shared" si="13"/>
        <v>536.00000000000011</v>
      </c>
      <c r="L306" s="1">
        <f t="shared" si="14"/>
        <v>1255.2324645161295</v>
      </c>
    </row>
    <row r="307" spans="1:12" x14ac:dyDescent="0.35">
      <c r="A307" t="s">
        <v>418</v>
      </c>
      <c r="B307" t="s">
        <v>22</v>
      </c>
      <c r="C307" t="s">
        <v>274</v>
      </c>
      <c r="D307" t="s">
        <v>275</v>
      </c>
      <c r="E307">
        <v>1</v>
      </c>
      <c r="F307">
        <v>2813.1552000000001</v>
      </c>
      <c r="G307">
        <v>3816</v>
      </c>
      <c r="H307">
        <v>106</v>
      </c>
      <c r="I307">
        <v>72</v>
      </c>
      <c r="J307">
        <f t="shared" si="12"/>
        <v>36</v>
      </c>
      <c r="K307">
        <f t="shared" si="13"/>
        <v>1696</v>
      </c>
      <c r="L307" s="1">
        <f t="shared" si="14"/>
        <v>1250.2912000000001</v>
      </c>
    </row>
    <row r="308" spans="1:12" x14ac:dyDescent="0.35">
      <c r="A308" t="s">
        <v>419</v>
      </c>
      <c r="B308" t="s">
        <v>16</v>
      </c>
      <c r="C308" t="s">
        <v>84</v>
      </c>
      <c r="D308" t="s">
        <v>84</v>
      </c>
      <c r="E308">
        <v>1</v>
      </c>
      <c r="F308">
        <v>1428.84</v>
      </c>
      <c r="G308">
        <v>42</v>
      </c>
      <c r="H308">
        <v>0</v>
      </c>
      <c r="I308">
        <v>0.3</v>
      </c>
      <c r="J308">
        <f t="shared" si="12"/>
        <v>140</v>
      </c>
      <c r="K308">
        <f t="shared" si="13"/>
        <v>36</v>
      </c>
      <c r="L308" s="1">
        <f t="shared" si="14"/>
        <v>1224.7199999999998</v>
      </c>
    </row>
    <row r="309" spans="1:12" x14ac:dyDescent="0.35">
      <c r="A309" t="s">
        <v>420</v>
      </c>
      <c r="B309" t="s">
        <v>22</v>
      </c>
      <c r="C309" t="s">
        <v>274</v>
      </c>
      <c r="D309" t="s">
        <v>275</v>
      </c>
      <c r="E309">
        <v>1</v>
      </c>
      <c r="F309">
        <v>1630.5527999999999</v>
      </c>
      <c r="G309">
        <v>2616</v>
      </c>
      <c r="H309">
        <v>0</v>
      </c>
      <c r="I309">
        <v>33.200000000000003</v>
      </c>
      <c r="J309">
        <f t="shared" si="12"/>
        <v>78.795180722891558</v>
      </c>
      <c r="K309">
        <f t="shared" si="13"/>
        <v>1952</v>
      </c>
      <c r="L309" s="1">
        <f t="shared" si="14"/>
        <v>1216.6815999999999</v>
      </c>
    </row>
    <row r="310" spans="1:12" x14ac:dyDescent="0.35">
      <c r="A310" t="s">
        <v>421</v>
      </c>
      <c r="B310" t="s">
        <v>22</v>
      </c>
      <c r="C310" t="s">
        <v>53</v>
      </c>
      <c r="D310" t="s">
        <v>180</v>
      </c>
      <c r="E310">
        <v>2</v>
      </c>
      <c r="F310">
        <v>1322.8848</v>
      </c>
      <c r="G310">
        <v>1188</v>
      </c>
      <c r="H310">
        <v>5</v>
      </c>
      <c r="I310">
        <v>2.8</v>
      </c>
      <c r="J310">
        <f t="shared" si="12"/>
        <v>237.6</v>
      </c>
      <c r="K310">
        <f t="shared" si="13"/>
        <v>1088</v>
      </c>
      <c r="L310" s="1">
        <f t="shared" si="14"/>
        <v>1211.5308606060607</v>
      </c>
    </row>
    <row r="311" spans="1:12" x14ac:dyDescent="0.35">
      <c r="A311" t="s">
        <v>422</v>
      </c>
      <c r="B311" t="s">
        <v>22</v>
      </c>
      <c r="C311" t="s">
        <v>53</v>
      </c>
      <c r="D311" t="s">
        <v>54</v>
      </c>
      <c r="E311">
        <v>1</v>
      </c>
      <c r="F311">
        <v>2344.6655999999998</v>
      </c>
      <c r="G311">
        <v>1152</v>
      </c>
      <c r="H311">
        <v>28</v>
      </c>
      <c r="I311">
        <v>5.5</v>
      </c>
      <c r="J311">
        <f t="shared" si="12"/>
        <v>41.142857142857146</v>
      </c>
      <c r="K311">
        <f t="shared" si="13"/>
        <v>592.00000000000011</v>
      </c>
      <c r="L311" s="1">
        <f t="shared" si="14"/>
        <v>1204.8976000000002</v>
      </c>
    </row>
    <row r="312" spans="1:12" x14ac:dyDescent="0.35">
      <c r="A312" t="s">
        <v>423</v>
      </c>
      <c r="B312" t="s">
        <v>22</v>
      </c>
      <c r="C312" t="s">
        <v>23</v>
      </c>
      <c r="D312" t="s">
        <v>24</v>
      </c>
      <c r="E312">
        <v>2</v>
      </c>
      <c r="F312">
        <v>4366.9080000000004</v>
      </c>
      <c r="G312">
        <v>630</v>
      </c>
      <c r="H312">
        <v>23</v>
      </c>
      <c r="I312">
        <v>16.600000000000001</v>
      </c>
      <c r="J312">
        <f t="shared" si="12"/>
        <v>27.391304347826086</v>
      </c>
      <c r="K312">
        <f t="shared" si="13"/>
        <v>169.99999999999997</v>
      </c>
      <c r="L312" s="1">
        <f t="shared" si="14"/>
        <v>1178.3719999999998</v>
      </c>
    </row>
    <row r="313" spans="1:12" x14ac:dyDescent="0.35">
      <c r="A313" t="s">
        <v>424</v>
      </c>
      <c r="B313" t="s">
        <v>150</v>
      </c>
      <c r="C313" t="s">
        <v>425</v>
      </c>
      <c r="D313" t="s">
        <v>426</v>
      </c>
      <c r="E313">
        <v>1</v>
      </c>
      <c r="F313">
        <v>2077.2089999999998</v>
      </c>
      <c r="G313">
        <v>45</v>
      </c>
      <c r="H313">
        <v>1</v>
      </c>
      <c r="I313">
        <v>0</v>
      </c>
      <c r="J313">
        <f t="shared" si="12"/>
        <v>45</v>
      </c>
      <c r="K313">
        <f t="shared" si="13"/>
        <v>25</v>
      </c>
      <c r="L313" s="1">
        <f t="shared" si="14"/>
        <v>1154.0049999999999</v>
      </c>
    </row>
    <row r="314" spans="1:12" x14ac:dyDescent="0.35">
      <c r="A314" t="s">
        <v>427</v>
      </c>
      <c r="B314" t="s">
        <v>22</v>
      </c>
      <c r="C314" t="s">
        <v>53</v>
      </c>
      <c r="D314" t="s">
        <v>54</v>
      </c>
      <c r="E314">
        <v>1</v>
      </c>
      <c r="F314">
        <v>5341.3667999999998</v>
      </c>
      <c r="G314">
        <v>2268</v>
      </c>
      <c r="H314">
        <v>89</v>
      </c>
      <c r="I314">
        <v>85.8</v>
      </c>
      <c r="J314">
        <f t="shared" si="12"/>
        <v>25.483146067415731</v>
      </c>
      <c r="K314">
        <f t="shared" si="13"/>
        <v>488.00000000000011</v>
      </c>
      <c r="L314" s="1">
        <f t="shared" si="14"/>
        <v>1149.2888</v>
      </c>
    </row>
    <row r="315" spans="1:12" x14ac:dyDescent="0.35">
      <c r="A315" t="s">
        <v>428</v>
      </c>
      <c r="B315" t="s">
        <v>22</v>
      </c>
      <c r="C315" t="s">
        <v>23</v>
      </c>
      <c r="D315" t="s">
        <v>24</v>
      </c>
      <c r="E315">
        <v>1</v>
      </c>
      <c r="F315">
        <v>16920.175200000001</v>
      </c>
      <c r="G315">
        <v>4476</v>
      </c>
      <c r="H315">
        <v>172</v>
      </c>
      <c r="I315">
        <v>208.6</v>
      </c>
      <c r="J315">
        <f t="shared" si="12"/>
        <v>21.457334611697028</v>
      </c>
      <c r="K315">
        <f t="shared" si="13"/>
        <v>304.00000000000011</v>
      </c>
      <c r="L315" s="1">
        <f t="shared" si="14"/>
        <v>1149.1808000000005</v>
      </c>
    </row>
    <row r="316" spans="1:12" x14ac:dyDescent="0.35">
      <c r="A316" t="s">
        <v>429</v>
      </c>
      <c r="B316" t="s">
        <v>22</v>
      </c>
      <c r="C316" t="s">
        <v>78</v>
      </c>
      <c r="D316" t="s">
        <v>79</v>
      </c>
      <c r="E316">
        <v>1</v>
      </c>
      <c r="F316">
        <v>5372.1</v>
      </c>
      <c r="G316">
        <v>4572</v>
      </c>
      <c r="H316">
        <v>180</v>
      </c>
      <c r="I316">
        <v>174.5</v>
      </c>
      <c r="J316">
        <f t="shared" si="12"/>
        <v>25.4</v>
      </c>
      <c r="K316">
        <f t="shared" si="13"/>
        <v>971.99999999999977</v>
      </c>
      <c r="L316" s="1">
        <f t="shared" si="14"/>
        <v>1142.0999999999997</v>
      </c>
    </row>
    <row r="317" spans="1:12" x14ac:dyDescent="0.35">
      <c r="A317" t="s">
        <v>430</v>
      </c>
      <c r="B317" t="s">
        <v>22</v>
      </c>
      <c r="C317" t="s">
        <v>53</v>
      </c>
      <c r="D317" t="s">
        <v>56</v>
      </c>
      <c r="E317">
        <v>2</v>
      </c>
      <c r="F317">
        <v>2222.6401000000001</v>
      </c>
      <c r="G317">
        <v>3024</v>
      </c>
      <c r="H317">
        <v>72</v>
      </c>
      <c r="I317">
        <v>74.8</v>
      </c>
      <c r="J317">
        <f t="shared" si="12"/>
        <v>40.427807486631018</v>
      </c>
      <c r="K317">
        <f t="shared" si="13"/>
        <v>1528</v>
      </c>
      <c r="L317" s="1">
        <f t="shared" si="14"/>
        <v>1123.0800505291006</v>
      </c>
    </row>
    <row r="318" spans="1:12" x14ac:dyDescent="0.35">
      <c r="A318" t="s">
        <v>431</v>
      </c>
      <c r="B318" t="s">
        <v>22</v>
      </c>
      <c r="C318" t="s">
        <v>23</v>
      </c>
      <c r="D318" t="s">
        <v>24</v>
      </c>
      <c r="E318">
        <v>2</v>
      </c>
      <c r="F318">
        <v>1699.3332</v>
      </c>
      <c r="G318">
        <v>1116</v>
      </c>
      <c r="H318">
        <v>19</v>
      </c>
      <c r="I318">
        <v>13.8</v>
      </c>
      <c r="J318">
        <f t="shared" si="12"/>
        <v>58.736842105263158</v>
      </c>
      <c r="K318">
        <f t="shared" si="13"/>
        <v>736</v>
      </c>
      <c r="L318" s="1">
        <f t="shared" si="14"/>
        <v>1120.7072000000001</v>
      </c>
    </row>
    <row r="319" spans="1:12" x14ac:dyDescent="0.35">
      <c r="A319" t="s">
        <v>432</v>
      </c>
      <c r="B319" t="s">
        <v>43</v>
      </c>
      <c r="C319" t="s">
        <v>140</v>
      </c>
      <c r="D319" t="s">
        <v>140</v>
      </c>
      <c r="E319">
        <v>1</v>
      </c>
      <c r="F319">
        <v>1305.2466999999999</v>
      </c>
      <c r="G319">
        <v>42</v>
      </c>
      <c r="H319">
        <v>0</v>
      </c>
      <c r="I319">
        <v>0.3</v>
      </c>
      <c r="J319">
        <f t="shared" si="12"/>
        <v>140</v>
      </c>
      <c r="K319">
        <f t="shared" si="13"/>
        <v>36</v>
      </c>
      <c r="L319" s="1">
        <f t="shared" si="14"/>
        <v>1118.7828857142856</v>
      </c>
    </row>
    <row r="320" spans="1:12" x14ac:dyDescent="0.35">
      <c r="A320" t="s">
        <v>433</v>
      </c>
      <c r="B320" t="s">
        <v>22</v>
      </c>
      <c r="C320" t="s">
        <v>53</v>
      </c>
      <c r="D320" t="s">
        <v>180</v>
      </c>
      <c r="E320">
        <v>2</v>
      </c>
      <c r="F320">
        <v>2299.7159999999999</v>
      </c>
      <c r="G320">
        <v>1944</v>
      </c>
      <c r="H320">
        <v>50</v>
      </c>
      <c r="I320">
        <v>38.799999999999997</v>
      </c>
      <c r="J320">
        <f t="shared" si="12"/>
        <v>38.880000000000003</v>
      </c>
      <c r="K320">
        <f t="shared" si="13"/>
        <v>944.00000000000011</v>
      </c>
      <c r="L320" s="1">
        <f t="shared" si="14"/>
        <v>1116.7345185185186</v>
      </c>
    </row>
    <row r="321" spans="1:12" x14ac:dyDescent="0.35">
      <c r="A321" t="s">
        <v>434</v>
      </c>
      <c r="B321" t="s">
        <v>22</v>
      </c>
      <c r="C321" t="s">
        <v>23</v>
      </c>
      <c r="D321" t="s">
        <v>244</v>
      </c>
      <c r="E321">
        <v>1</v>
      </c>
      <c r="F321">
        <v>4803.5879999999997</v>
      </c>
      <c r="G321">
        <v>1692</v>
      </c>
      <c r="H321">
        <v>65</v>
      </c>
      <c r="I321">
        <v>24.9</v>
      </c>
      <c r="J321">
        <f t="shared" si="12"/>
        <v>26.030769230769231</v>
      </c>
      <c r="K321">
        <f t="shared" si="13"/>
        <v>392</v>
      </c>
      <c r="L321" s="1">
        <f t="shared" si="14"/>
        <v>1112.8879999999999</v>
      </c>
    </row>
    <row r="322" spans="1:12" x14ac:dyDescent="0.35">
      <c r="A322" t="s">
        <v>435</v>
      </c>
      <c r="B322" t="s">
        <v>290</v>
      </c>
      <c r="C322" t="s">
        <v>291</v>
      </c>
      <c r="D322" t="s">
        <v>291</v>
      </c>
      <c r="E322">
        <v>1</v>
      </c>
      <c r="F322">
        <v>1111.2768000000001</v>
      </c>
      <c r="G322">
        <v>18</v>
      </c>
      <c r="H322">
        <v>0</v>
      </c>
      <c r="I322">
        <v>0</v>
      </c>
      <c r="J322" t="str">
        <f t="shared" ref="J322:J385" si="15">IFERROR(G322/MAX(I322,H322),"no usage/demand")</f>
        <v>no usage/demand</v>
      </c>
      <c r="K322">
        <f t="shared" ref="K322:K385" si="16">IFERROR(IF(J322="no usage/demand",G322,IF(J322&gt;20,(J322-20)*MAX(H322,I322),0)),"Check")</f>
        <v>18</v>
      </c>
      <c r="L322" s="1">
        <f t="shared" ref="L322:L385" si="17">IFERROR(F322/G322*K322,0)</f>
        <v>1111.2768000000001</v>
      </c>
    </row>
    <row r="323" spans="1:12" x14ac:dyDescent="0.35">
      <c r="A323" t="s">
        <v>436</v>
      </c>
      <c r="B323" t="s">
        <v>40</v>
      </c>
      <c r="C323" t="s">
        <v>117</v>
      </c>
      <c r="D323" t="s">
        <v>117</v>
      </c>
      <c r="E323">
        <v>1</v>
      </c>
      <c r="F323">
        <v>1102.3848</v>
      </c>
      <c r="G323">
        <v>11</v>
      </c>
      <c r="H323">
        <v>0</v>
      </c>
      <c r="I323">
        <v>0</v>
      </c>
      <c r="J323" t="str">
        <f t="shared" si="15"/>
        <v>no usage/demand</v>
      </c>
      <c r="K323">
        <f t="shared" si="16"/>
        <v>11</v>
      </c>
      <c r="L323" s="1">
        <f t="shared" si="17"/>
        <v>1102.3848</v>
      </c>
    </row>
    <row r="324" spans="1:12" x14ac:dyDescent="0.35">
      <c r="A324" t="s">
        <v>437</v>
      </c>
      <c r="B324" t="s">
        <v>22</v>
      </c>
      <c r="C324" t="s">
        <v>34</v>
      </c>
      <c r="D324" t="s">
        <v>61</v>
      </c>
      <c r="E324">
        <v>1</v>
      </c>
      <c r="F324">
        <v>1300.7736</v>
      </c>
      <c r="G324">
        <v>504</v>
      </c>
      <c r="H324">
        <v>4</v>
      </c>
      <c r="I324">
        <v>0</v>
      </c>
      <c r="J324">
        <f t="shared" si="15"/>
        <v>126</v>
      </c>
      <c r="K324">
        <f t="shared" si="16"/>
        <v>424</v>
      </c>
      <c r="L324" s="1">
        <f t="shared" si="17"/>
        <v>1094.3016</v>
      </c>
    </row>
    <row r="325" spans="1:12" x14ac:dyDescent="0.35">
      <c r="A325" t="s">
        <v>438</v>
      </c>
      <c r="B325" t="s">
        <v>22</v>
      </c>
      <c r="C325" t="s">
        <v>34</v>
      </c>
      <c r="D325" t="s">
        <v>35</v>
      </c>
      <c r="E325">
        <v>2</v>
      </c>
      <c r="F325">
        <v>2945.2356</v>
      </c>
      <c r="G325">
        <v>2700</v>
      </c>
      <c r="H325">
        <v>85</v>
      </c>
      <c r="I325">
        <v>77.5</v>
      </c>
      <c r="J325">
        <f t="shared" si="15"/>
        <v>31.764705882352942</v>
      </c>
      <c r="K325">
        <f t="shared" si="16"/>
        <v>1000.0000000000001</v>
      </c>
      <c r="L325" s="1">
        <f t="shared" si="17"/>
        <v>1090.828</v>
      </c>
    </row>
    <row r="326" spans="1:12" x14ac:dyDescent="0.35">
      <c r="A326" t="s">
        <v>439</v>
      </c>
      <c r="B326" t="s">
        <v>37</v>
      </c>
      <c r="C326" t="s">
        <v>396</v>
      </c>
      <c r="D326" t="s">
        <v>396</v>
      </c>
      <c r="E326">
        <v>1</v>
      </c>
      <c r="F326">
        <v>1810.1072999999999</v>
      </c>
      <c r="G326">
        <v>291</v>
      </c>
      <c r="H326">
        <v>1</v>
      </c>
      <c r="I326">
        <v>6</v>
      </c>
      <c r="J326">
        <f t="shared" si="15"/>
        <v>48.5</v>
      </c>
      <c r="K326">
        <f t="shared" si="16"/>
        <v>171</v>
      </c>
      <c r="L326" s="1">
        <f t="shared" si="17"/>
        <v>1063.6713</v>
      </c>
    </row>
    <row r="327" spans="1:12" x14ac:dyDescent="0.35">
      <c r="A327" t="s">
        <v>440</v>
      </c>
      <c r="B327" t="s">
        <v>22</v>
      </c>
      <c r="C327" t="s">
        <v>34</v>
      </c>
      <c r="D327" t="s">
        <v>35</v>
      </c>
      <c r="E327">
        <v>2</v>
      </c>
      <c r="F327">
        <v>2590.3404</v>
      </c>
      <c r="G327">
        <v>2340</v>
      </c>
      <c r="H327">
        <v>69</v>
      </c>
      <c r="I327">
        <v>16.600000000000001</v>
      </c>
      <c r="J327">
        <f t="shared" si="15"/>
        <v>33.913043478260867</v>
      </c>
      <c r="K327">
        <f t="shared" si="16"/>
        <v>959.99999999999989</v>
      </c>
      <c r="L327" s="1">
        <f t="shared" si="17"/>
        <v>1062.7037538461536</v>
      </c>
    </row>
    <row r="328" spans="1:12" x14ac:dyDescent="0.35">
      <c r="A328" t="s">
        <v>441</v>
      </c>
      <c r="B328" t="s">
        <v>37</v>
      </c>
      <c r="C328" t="s">
        <v>68</v>
      </c>
      <c r="D328" t="s">
        <v>68</v>
      </c>
      <c r="E328">
        <v>1</v>
      </c>
      <c r="F328">
        <v>3154.5743000000002</v>
      </c>
      <c r="G328">
        <v>816</v>
      </c>
      <c r="H328">
        <v>1</v>
      </c>
      <c r="I328">
        <v>27.2</v>
      </c>
      <c r="J328">
        <f t="shared" si="15"/>
        <v>30</v>
      </c>
      <c r="K328">
        <f t="shared" si="16"/>
        <v>272</v>
      </c>
      <c r="L328" s="1">
        <f t="shared" si="17"/>
        <v>1051.5247666666667</v>
      </c>
    </row>
    <row r="329" spans="1:12" x14ac:dyDescent="0.35">
      <c r="A329" t="s">
        <v>442</v>
      </c>
      <c r="B329" t="s">
        <v>22</v>
      </c>
      <c r="C329" t="s">
        <v>53</v>
      </c>
      <c r="D329" t="s">
        <v>54</v>
      </c>
      <c r="E329">
        <v>2</v>
      </c>
      <c r="F329">
        <v>4274.1432000000004</v>
      </c>
      <c r="G329">
        <v>2196</v>
      </c>
      <c r="H329">
        <v>72</v>
      </c>
      <c r="I329">
        <v>83.1</v>
      </c>
      <c r="J329">
        <f t="shared" si="15"/>
        <v>26.425992779783396</v>
      </c>
      <c r="K329">
        <f t="shared" si="16"/>
        <v>534.00000000000023</v>
      </c>
      <c r="L329" s="1">
        <f t="shared" si="17"/>
        <v>1039.3408327868858</v>
      </c>
    </row>
    <row r="330" spans="1:12" x14ac:dyDescent="0.35">
      <c r="A330" t="s">
        <v>443</v>
      </c>
      <c r="B330" t="s">
        <v>110</v>
      </c>
      <c r="C330" t="s">
        <v>170</v>
      </c>
      <c r="D330" t="s">
        <v>444</v>
      </c>
      <c r="E330">
        <v>1</v>
      </c>
      <c r="F330">
        <v>1513.1907000000001</v>
      </c>
      <c r="G330">
        <v>63</v>
      </c>
      <c r="H330">
        <v>1</v>
      </c>
      <c r="I330">
        <v>0.8</v>
      </c>
      <c r="J330">
        <f t="shared" si="15"/>
        <v>63</v>
      </c>
      <c r="K330">
        <f t="shared" si="16"/>
        <v>43</v>
      </c>
      <c r="L330" s="1">
        <f t="shared" si="17"/>
        <v>1032.8127000000002</v>
      </c>
    </row>
    <row r="331" spans="1:12" x14ac:dyDescent="0.35">
      <c r="A331" t="s">
        <v>445</v>
      </c>
      <c r="B331" t="s">
        <v>22</v>
      </c>
      <c r="C331" t="s">
        <v>23</v>
      </c>
      <c r="D331" t="s">
        <v>24</v>
      </c>
      <c r="E331">
        <v>1</v>
      </c>
      <c r="F331">
        <v>2085.4259999999999</v>
      </c>
      <c r="G331">
        <v>1620</v>
      </c>
      <c r="H331">
        <v>41</v>
      </c>
      <c r="I331">
        <v>19.399999999999999</v>
      </c>
      <c r="J331">
        <f t="shared" si="15"/>
        <v>39.512195121951223</v>
      </c>
      <c r="K331">
        <f t="shared" si="16"/>
        <v>800.00000000000011</v>
      </c>
      <c r="L331" s="1">
        <f t="shared" si="17"/>
        <v>1029.8400000000001</v>
      </c>
    </row>
    <row r="332" spans="1:12" x14ac:dyDescent="0.35">
      <c r="A332" t="s">
        <v>446</v>
      </c>
      <c r="B332" t="s">
        <v>22</v>
      </c>
      <c r="C332" t="s">
        <v>78</v>
      </c>
      <c r="D332" t="s">
        <v>199</v>
      </c>
      <c r="E332">
        <v>1</v>
      </c>
      <c r="F332">
        <v>1093.0752</v>
      </c>
      <c r="G332">
        <v>288</v>
      </c>
      <c r="H332">
        <v>0</v>
      </c>
      <c r="I332">
        <v>0.9</v>
      </c>
      <c r="J332">
        <f t="shared" si="15"/>
        <v>320</v>
      </c>
      <c r="K332">
        <f t="shared" si="16"/>
        <v>270</v>
      </c>
      <c r="L332" s="1">
        <f t="shared" si="17"/>
        <v>1024.758</v>
      </c>
    </row>
    <row r="333" spans="1:12" x14ac:dyDescent="0.35">
      <c r="A333" t="s">
        <v>447</v>
      </c>
      <c r="B333" t="s">
        <v>22</v>
      </c>
      <c r="C333" t="s">
        <v>78</v>
      </c>
      <c r="D333" t="s">
        <v>79</v>
      </c>
      <c r="E333">
        <v>1</v>
      </c>
      <c r="F333">
        <v>1341.5039999999999</v>
      </c>
      <c r="G333">
        <v>1152</v>
      </c>
      <c r="H333">
        <v>14</v>
      </c>
      <c r="I333">
        <v>11.1</v>
      </c>
      <c r="J333">
        <f t="shared" si="15"/>
        <v>82.285714285714292</v>
      </c>
      <c r="K333">
        <f t="shared" si="16"/>
        <v>872.00000000000011</v>
      </c>
      <c r="L333" s="1">
        <f t="shared" si="17"/>
        <v>1015.4440000000001</v>
      </c>
    </row>
    <row r="334" spans="1:12" x14ac:dyDescent="0.35">
      <c r="A334" t="s">
        <v>448</v>
      </c>
      <c r="B334" t="s">
        <v>22</v>
      </c>
      <c r="C334" t="s">
        <v>23</v>
      </c>
      <c r="D334" t="s">
        <v>24</v>
      </c>
      <c r="E334">
        <v>1</v>
      </c>
      <c r="F334">
        <v>1175.4072000000001</v>
      </c>
      <c r="G334">
        <v>132</v>
      </c>
      <c r="H334">
        <v>1</v>
      </c>
      <c r="I334">
        <v>0.9</v>
      </c>
      <c r="J334">
        <f t="shared" si="15"/>
        <v>132</v>
      </c>
      <c r="K334">
        <f t="shared" si="16"/>
        <v>112</v>
      </c>
      <c r="L334" s="1">
        <f t="shared" si="17"/>
        <v>997.3152</v>
      </c>
    </row>
    <row r="335" spans="1:12" x14ac:dyDescent="0.35">
      <c r="A335" t="s">
        <v>449</v>
      </c>
      <c r="B335" t="s">
        <v>22</v>
      </c>
      <c r="C335" t="s">
        <v>23</v>
      </c>
      <c r="D335" t="s">
        <v>24</v>
      </c>
      <c r="E335">
        <v>1</v>
      </c>
      <c r="F335">
        <v>1305.7919999999999</v>
      </c>
      <c r="G335">
        <v>1152</v>
      </c>
      <c r="H335">
        <v>12</v>
      </c>
      <c r="I335">
        <v>13.8</v>
      </c>
      <c r="J335">
        <f t="shared" si="15"/>
        <v>83.478260869565219</v>
      </c>
      <c r="K335">
        <f t="shared" si="16"/>
        <v>876.00000000000011</v>
      </c>
      <c r="L335" s="1">
        <f t="shared" si="17"/>
        <v>992.94600000000014</v>
      </c>
    </row>
    <row r="336" spans="1:12" x14ac:dyDescent="0.35">
      <c r="A336" t="s">
        <v>450</v>
      </c>
      <c r="B336" t="s">
        <v>22</v>
      </c>
      <c r="C336" t="s">
        <v>78</v>
      </c>
      <c r="D336" t="s">
        <v>379</v>
      </c>
      <c r="E336">
        <v>1</v>
      </c>
      <c r="F336">
        <v>988.41600000000005</v>
      </c>
      <c r="G336">
        <v>576</v>
      </c>
      <c r="H336">
        <v>0</v>
      </c>
      <c r="I336">
        <v>0</v>
      </c>
      <c r="J336" t="str">
        <f t="shared" si="15"/>
        <v>no usage/demand</v>
      </c>
      <c r="K336">
        <f t="shared" si="16"/>
        <v>576</v>
      </c>
      <c r="L336" s="1">
        <f t="shared" si="17"/>
        <v>988.41600000000017</v>
      </c>
    </row>
    <row r="337" spans="1:12" x14ac:dyDescent="0.35">
      <c r="A337" t="s">
        <v>451</v>
      </c>
      <c r="B337" t="s">
        <v>22</v>
      </c>
      <c r="C337" t="s">
        <v>53</v>
      </c>
      <c r="D337" t="s">
        <v>154</v>
      </c>
      <c r="E337">
        <v>1</v>
      </c>
      <c r="F337">
        <v>1554.4114999999999</v>
      </c>
      <c r="G337">
        <v>756</v>
      </c>
      <c r="H337">
        <v>0</v>
      </c>
      <c r="I337">
        <v>13.8</v>
      </c>
      <c r="J337">
        <f t="shared" si="15"/>
        <v>54.782608695652172</v>
      </c>
      <c r="K337">
        <f t="shared" si="16"/>
        <v>480</v>
      </c>
      <c r="L337" s="1">
        <f t="shared" si="17"/>
        <v>986.92793650793647</v>
      </c>
    </row>
    <row r="338" spans="1:12" x14ac:dyDescent="0.35">
      <c r="A338" t="s">
        <v>452</v>
      </c>
      <c r="B338" t="s">
        <v>22</v>
      </c>
      <c r="C338" t="s">
        <v>53</v>
      </c>
      <c r="D338" t="s">
        <v>180</v>
      </c>
      <c r="E338">
        <v>2</v>
      </c>
      <c r="F338">
        <v>1509.9948999999999</v>
      </c>
      <c r="G338">
        <v>1116</v>
      </c>
      <c r="H338">
        <v>7</v>
      </c>
      <c r="I338">
        <v>19.399999999999999</v>
      </c>
      <c r="J338">
        <f t="shared" si="15"/>
        <v>57.52577319587629</v>
      </c>
      <c r="K338">
        <f t="shared" si="16"/>
        <v>728</v>
      </c>
      <c r="L338" s="1">
        <f t="shared" si="17"/>
        <v>985.01459426523286</v>
      </c>
    </row>
    <row r="339" spans="1:12" x14ac:dyDescent="0.35">
      <c r="A339" t="s">
        <v>453</v>
      </c>
      <c r="B339" t="s">
        <v>22</v>
      </c>
      <c r="C339" t="s">
        <v>53</v>
      </c>
      <c r="D339" t="s">
        <v>54</v>
      </c>
      <c r="E339">
        <v>1</v>
      </c>
      <c r="F339">
        <v>981.21600000000001</v>
      </c>
      <c r="G339">
        <v>96</v>
      </c>
      <c r="H339">
        <v>0</v>
      </c>
      <c r="I339">
        <v>0</v>
      </c>
      <c r="J339" t="str">
        <f t="shared" si="15"/>
        <v>no usage/demand</v>
      </c>
      <c r="K339">
        <f t="shared" si="16"/>
        <v>96</v>
      </c>
      <c r="L339" s="1">
        <f t="shared" si="17"/>
        <v>981.21600000000001</v>
      </c>
    </row>
    <row r="340" spans="1:12" x14ac:dyDescent="0.35">
      <c r="A340" t="s">
        <v>454</v>
      </c>
      <c r="B340" t="s">
        <v>22</v>
      </c>
      <c r="C340" t="s">
        <v>274</v>
      </c>
      <c r="D340" t="s">
        <v>275</v>
      </c>
      <c r="E340">
        <v>1</v>
      </c>
      <c r="F340">
        <v>1865.1756</v>
      </c>
      <c r="G340">
        <v>348</v>
      </c>
      <c r="H340">
        <v>0</v>
      </c>
      <c r="I340">
        <v>8.3000000000000007</v>
      </c>
      <c r="J340">
        <f t="shared" si="15"/>
        <v>41.92771084337349</v>
      </c>
      <c r="K340">
        <f t="shared" si="16"/>
        <v>181.99999999999997</v>
      </c>
      <c r="L340" s="1">
        <f t="shared" si="17"/>
        <v>975.46539999999982</v>
      </c>
    </row>
    <row r="341" spans="1:12" x14ac:dyDescent="0.35">
      <c r="A341" t="s">
        <v>455</v>
      </c>
      <c r="B341" t="s">
        <v>37</v>
      </c>
      <c r="C341" t="s">
        <v>68</v>
      </c>
      <c r="D341" t="s">
        <v>68</v>
      </c>
      <c r="E341">
        <v>1</v>
      </c>
      <c r="F341">
        <v>1326.8806999999999</v>
      </c>
      <c r="G341">
        <v>294</v>
      </c>
      <c r="H341">
        <v>0</v>
      </c>
      <c r="I341">
        <v>3.9</v>
      </c>
      <c r="J341">
        <f t="shared" si="15"/>
        <v>75.384615384615387</v>
      </c>
      <c r="K341">
        <f t="shared" si="16"/>
        <v>216</v>
      </c>
      <c r="L341" s="1">
        <f t="shared" si="17"/>
        <v>974.85112653061208</v>
      </c>
    </row>
    <row r="342" spans="1:12" x14ac:dyDescent="0.35">
      <c r="A342" t="s">
        <v>456</v>
      </c>
      <c r="B342" t="s">
        <v>16</v>
      </c>
      <c r="C342" t="s">
        <v>457</v>
      </c>
      <c r="D342" t="s">
        <v>457</v>
      </c>
      <c r="E342">
        <v>1</v>
      </c>
      <c r="F342">
        <v>3617.79</v>
      </c>
      <c r="G342">
        <v>1650</v>
      </c>
      <c r="H342">
        <v>61</v>
      </c>
      <c r="I342">
        <v>3.8</v>
      </c>
      <c r="J342">
        <f t="shared" si="15"/>
        <v>27.049180327868854</v>
      </c>
      <c r="K342">
        <f t="shared" si="16"/>
        <v>430.00000000000006</v>
      </c>
      <c r="L342" s="1">
        <f t="shared" si="17"/>
        <v>942.81800000000021</v>
      </c>
    </row>
    <row r="343" spans="1:12" x14ac:dyDescent="0.35">
      <c r="A343" t="s">
        <v>458</v>
      </c>
      <c r="B343" t="s">
        <v>22</v>
      </c>
      <c r="C343" t="s">
        <v>53</v>
      </c>
      <c r="D343" t="s">
        <v>54</v>
      </c>
      <c r="E343">
        <v>1</v>
      </c>
      <c r="F343">
        <v>941.976</v>
      </c>
      <c r="G343">
        <v>504</v>
      </c>
      <c r="H343">
        <v>0</v>
      </c>
      <c r="I343">
        <v>0</v>
      </c>
      <c r="J343" t="str">
        <f t="shared" si="15"/>
        <v>no usage/demand</v>
      </c>
      <c r="K343">
        <f t="shared" si="16"/>
        <v>504</v>
      </c>
      <c r="L343" s="1">
        <f t="shared" si="17"/>
        <v>941.976</v>
      </c>
    </row>
    <row r="344" spans="1:12" x14ac:dyDescent="0.35">
      <c r="A344" t="s">
        <v>459</v>
      </c>
      <c r="B344" t="s">
        <v>22</v>
      </c>
      <c r="C344" t="s">
        <v>53</v>
      </c>
      <c r="D344" t="s">
        <v>154</v>
      </c>
      <c r="E344">
        <v>1</v>
      </c>
      <c r="F344">
        <v>1143.3312000000001</v>
      </c>
      <c r="G344">
        <v>648</v>
      </c>
      <c r="H344">
        <v>6</v>
      </c>
      <c r="I344">
        <v>0</v>
      </c>
      <c r="J344">
        <f t="shared" si="15"/>
        <v>108</v>
      </c>
      <c r="K344">
        <f t="shared" si="16"/>
        <v>528</v>
      </c>
      <c r="L344" s="1">
        <f t="shared" si="17"/>
        <v>931.60320000000013</v>
      </c>
    </row>
    <row r="345" spans="1:12" x14ac:dyDescent="0.35">
      <c r="A345" t="s">
        <v>460</v>
      </c>
      <c r="B345" t="s">
        <v>22</v>
      </c>
      <c r="C345" t="s">
        <v>23</v>
      </c>
      <c r="D345" t="s">
        <v>24</v>
      </c>
      <c r="E345">
        <v>1</v>
      </c>
      <c r="F345">
        <v>7899.7572</v>
      </c>
      <c r="G345">
        <v>1836</v>
      </c>
      <c r="H345">
        <v>81</v>
      </c>
      <c r="I345">
        <v>48</v>
      </c>
      <c r="J345">
        <f t="shared" si="15"/>
        <v>22.666666666666668</v>
      </c>
      <c r="K345">
        <f t="shared" si="16"/>
        <v>216.00000000000009</v>
      </c>
      <c r="L345" s="1">
        <f t="shared" si="17"/>
        <v>929.38320000000033</v>
      </c>
    </row>
    <row r="346" spans="1:12" x14ac:dyDescent="0.35">
      <c r="A346" t="s">
        <v>461</v>
      </c>
      <c r="B346" t="s">
        <v>22</v>
      </c>
      <c r="C346" t="s">
        <v>78</v>
      </c>
      <c r="D346" t="s">
        <v>379</v>
      </c>
      <c r="E346">
        <v>1</v>
      </c>
      <c r="F346">
        <v>7207.1567999999997</v>
      </c>
      <c r="G346">
        <v>5988</v>
      </c>
      <c r="H346">
        <v>216</v>
      </c>
      <c r="I346">
        <v>261.2</v>
      </c>
      <c r="J346">
        <f t="shared" si="15"/>
        <v>22.924961715160798</v>
      </c>
      <c r="K346">
        <f t="shared" si="16"/>
        <v>764.00000000000034</v>
      </c>
      <c r="L346" s="1">
        <f t="shared" si="17"/>
        <v>919.55040000000042</v>
      </c>
    </row>
    <row r="347" spans="1:12" x14ac:dyDescent="0.35">
      <c r="A347" t="s">
        <v>462</v>
      </c>
      <c r="B347" t="s">
        <v>16</v>
      </c>
      <c r="C347" t="s">
        <v>84</v>
      </c>
      <c r="D347" t="s">
        <v>84</v>
      </c>
      <c r="E347">
        <v>1</v>
      </c>
      <c r="F347">
        <v>1666.98</v>
      </c>
      <c r="G347">
        <v>49</v>
      </c>
      <c r="H347">
        <v>0</v>
      </c>
      <c r="I347">
        <v>1.1000000000000001</v>
      </c>
      <c r="J347">
        <f t="shared" si="15"/>
        <v>44.54545454545454</v>
      </c>
      <c r="K347">
        <f t="shared" si="16"/>
        <v>26.999999999999996</v>
      </c>
      <c r="L347" s="1">
        <f t="shared" si="17"/>
        <v>918.54</v>
      </c>
    </row>
    <row r="348" spans="1:12" x14ac:dyDescent="0.35">
      <c r="A348" t="s">
        <v>463</v>
      </c>
      <c r="B348" t="s">
        <v>37</v>
      </c>
      <c r="C348" t="s">
        <v>336</v>
      </c>
      <c r="D348" t="s">
        <v>336</v>
      </c>
      <c r="E348">
        <v>1</v>
      </c>
      <c r="F348">
        <v>1506.9566</v>
      </c>
      <c r="G348">
        <v>158</v>
      </c>
      <c r="H348">
        <v>0</v>
      </c>
      <c r="I348">
        <v>3.1</v>
      </c>
      <c r="J348">
        <f t="shared" si="15"/>
        <v>50.967741935483872</v>
      </c>
      <c r="K348">
        <f t="shared" si="16"/>
        <v>96</v>
      </c>
      <c r="L348" s="1">
        <f t="shared" si="17"/>
        <v>915.61919999999986</v>
      </c>
    </row>
    <row r="349" spans="1:12" x14ac:dyDescent="0.35">
      <c r="A349" t="s">
        <v>464</v>
      </c>
      <c r="B349" t="s">
        <v>22</v>
      </c>
      <c r="C349" t="s">
        <v>53</v>
      </c>
      <c r="D349" t="s">
        <v>54</v>
      </c>
      <c r="E349">
        <v>1</v>
      </c>
      <c r="F349">
        <v>4535.1072000000004</v>
      </c>
      <c r="G349">
        <v>3744</v>
      </c>
      <c r="H349">
        <v>150</v>
      </c>
      <c r="I349">
        <v>127.4</v>
      </c>
      <c r="J349">
        <f t="shared" si="15"/>
        <v>24.96</v>
      </c>
      <c r="K349">
        <f t="shared" si="16"/>
        <v>744.00000000000011</v>
      </c>
      <c r="L349" s="1">
        <f t="shared" si="17"/>
        <v>901.20720000000017</v>
      </c>
    </row>
    <row r="350" spans="1:12" x14ac:dyDescent="0.35">
      <c r="A350" t="s">
        <v>465</v>
      </c>
      <c r="B350" t="s">
        <v>88</v>
      </c>
      <c r="C350" t="s">
        <v>89</v>
      </c>
      <c r="D350" t="s">
        <v>89</v>
      </c>
      <c r="E350">
        <v>1</v>
      </c>
      <c r="F350">
        <v>899.53200000000004</v>
      </c>
      <c r="G350">
        <v>120</v>
      </c>
      <c r="H350">
        <v>0</v>
      </c>
      <c r="I350">
        <v>0</v>
      </c>
      <c r="J350" t="str">
        <f t="shared" si="15"/>
        <v>no usage/demand</v>
      </c>
      <c r="K350">
        <f t="shared" si="16"/>
        <v>120</v>
      </c>
      <c r="L350" s="1">
        <f t="shared" si="17"/>
        <v>899.53200000000004</v>
      </c>
    </row>
    <row r="351" spans="1:12" x14ac:dyDescent="0.35">
      <c r="A351" t="s">
        <v>466</v>
      </c>
      <c r="B351" t="s">
        <v>22</v>
      </c>
      <c r="C351" t="s">
        <v>34</v>
      </c>
      <c r="D351" t="s">
        <v>61</v>
      </c>
      <c r="E351">
        <v>2</v>
      </c>
      <c r="F351">
        <v>1015.3321</v>
      </c>
      <c r="G351">
        <v>1140</v>
      </c>
      <c r="H351">
        <v>7</v>
      </c>
      <c r="I351">
        <v>7.4</v>
      </c>
      <c r="J351">
        <f t="shared" si="15"/>
        <v>154.05405405405403</v>
      </c>
      <c r="K351">
        <f t="shared" si="16"/>
        <v>991.99999999999989</v>
      </c>
      <c r="L351" s="1">
        <f t="shared" si="17"/>
        <v>883.51705543859634</v>
      </c>
    </row>
    <row r="352" spans="1:12" x14ac:dyDescent="0.35">
      <c r="A352" t="s">
        <v>467</v>
      </c>
      <c r="B352" t="s">
        <v>40</v>
      </c>
      <c r="C352" t="s">
        <v>117</v>
      </c>
      <c r="D352" t="s">
        <v>117</v>
      </c>
      <c r="E352">
        <v>1</v>
      </c>
      <c r="F352">
        <v>1810.8635999999999</v>
      </c>
      <c r="G352">
        <v>39</v>
      </c>
      <c r="H352">
        <v>1</v>
      </c>
      <c r="I352">
        <v>0</v>
      </c>
      <c r="J352">
        <f t="shared" si="15"/>
        <v>39</v>
      </c>
      <c r="K352">
        <f t="shared" si="16"/>
        <v>19</v>
      </c>
      <c r="L352" s="1">
        <f t="shared" si="17"/>
        <v>882.21559999999988</v>
      </c>
    </row>
    <row r="353" spans="1:12" x14ac:dyDescent="0.35">
      <c r="A353" t="s">
        <v>468</v>
      </c>
      <c r="B353" t="s">
        <v>22</v>
      </c>
      <c r="C353" t="s">
        <v>23</v>
      </c>
      <c r="D353" t="s">
        <v>24</v>
      </c>
      <c r="E353">
        <v>2</v>
      </c>
      <c r="F353">
        <v>5309.6759999999986</v>
      </c>
      <c r="G353">
        <v>5112</v>
      </c>
      <c r="H353">
        <v>124</v>
      </c>
      <c r="I353">
        <v>213.2</v>
      </c>
      <c r="J353">
        <f t="shared" si="15"/>
        <v>23.977485928705441</v>
      </c>
      <c r="K353">
        <f t="shared" si="16"/>
        <v>848</v>
      </c>
      <c r="L353" s="1">
        <f t="shared" si="17"/>
        <v>880.79132394366172</v>
      </c>
    </row>
    <row r="354" spans="1:12" x14ac:dyDescent="0.35">
      <c r="A354" t="s">
        <v>469</v>
      </c>
      <c r="B354" t="s">
        <v>22</v>
      </c>
      <c r="C354" t="s">
        <v>53</v>
      </c>
      <c r="D354" t="s">
        <v>54</v>
      </c>
      <c r="E354">
        <v>1</v>
      </c>
      <c r="F354">
        <v>4466.2043999999996</v>
      </c>
      <c r="G354">
        <v>276</v>
      </c>
      <c r="H354">
        <v>11</v>
      </c>
      <c r="I354">
        <v>11.1</v>
      </c>
      <c r="J354">
        <f t="shared" si="15"/>
        <v>24.864864864864867</v>
      </c>
      <c r="K354">
        <f t="shared" si="16"/>
        <v>54.000000000000021</v>
      </c>
      <c r="L354" s="1">
        <f t="shared" si="17"/>
        <v>873.82260000000031</v>
      </c>
    </row>
    <row r="355" spans="1:12" x14ac:dyDescent="0.35">
      <c r="A355" t="s">
        <v>439</v>
      </c>
      <c r="B355" t="s">
        <v>37</v>
      </c>
      <c r="C355" t="s">
        <v>396</v>
      </c>
      <c r="D355" t="s">
        <v>396</v>
      </c>
      <c r="E355">
        <v>1</v>
      </c>
      <c r="F355">
        <v>871.33979999999997</v>
      </c>
      <c r="G355">
        <v>174</v>
      </c>
      <c r="H355">
        <v>0</v>
      </c>
      <c r="I355">
        <v>0</v>
      </c>
      <c r="J355" t="str">
        <f t="shared" si="15"/>
        <v>no usage/demand</v>
      </c>
      <c r="K355">
        <f t="shared" si="16"/>
        <v>174</v>
      </c>
      <c r="L355" s="1">
        <f t="shared" si="17"/>
        <v>871.33979999999997</v>
      </c>
    </row>
    <row r="356" spans="1:12" x14ac:dyDescent="0.35">
      <c r="A356" t="s">
        <v>470</v>
      </c>
      <c r="B356" t="s">
        <v>22</v>
      </c>
      <c r="C356" t="s">
        <v>78</v>
      </c>
      <c r="D356" t="s">
        <v>199</v>
      </c>
      <c r="E356">
        <v>1</v>
      </c>
      <c r="F356">
        <v>862.14239999999995</v>
      </c>
      <c r="G356">
        <v>168</v>
      </c>
      <c r="H356">
        <v>0</v>
      </c>
      <c r="I356">
        <v>0</v>
      </c>
      <c r="J356" t="str">
        <f t="shared" si="15"/>
        <v>no usage/demand</v>
      </c>
      <c r="K356">
        <f t="shared" si="16"/>
        <v>168</v>
      </c>
      <c r="L356" s="1">
        <f t="shared" si="17"/>
        <v>862.14240000000007</v>
      </c>
    </row>
    <row r="357" spans="1:12" x14ac:dyDescent="0.35">
      <c r="A357" t="s">
        <v>471</v>
      </c>
      <c r="B357" t="s">
        <v>22</v>
      </c>
      <c r="C357" t="s">
        <v>34</v>
      </c>
      <c r="D357" t="s">
        <v>61</v>
      </c>
      <c r="E357">
        <v>1</v>
      </c>
      <c r="F357">
        <v>2033.1204</v>
      </c>
      <c r="G357">
        <v>444</v>
      </c>
      <c r="H357">
        <v>13</v>
      </c>
      <c r="I357">
        <v>9.1999999999999993</v>
      </c>
      <c r="J357">
        <f t="shared" si="15"/>
        <v>34.153846153846153</v>
      </c>
      <c r="K357">
        <f t="shared" si="16"/>
        <v>184</v>
      </c>
      <c r="L357" s="1">
        <f t="shared" si="17"/>
        <v>842.5544000000001</v>
      </c>
    </row>
    <row r="358" spans="1:12" x14ac:dyDescent="0.35">
      <c r="A358" t="s">
        <v>472</v>
      </c>
      <c r="B358" t="s">
        <v>37</v>
      </c>
      <c r="C358" t="s">
        <v>473</v>
      </c>
      <c r="D358" t="s">
        <v>473</v>
      </c>
      <c r="E358">
        <v>1</v>
      </c>
      <c r="F358">
        <v>1958.2394999999999</v>
      </c>
      <c r="G358">
        <v>105</v>
      </c>
      <c r="H358">
        <v>3</v>
      </c>
      <c r="I358">
        <v>2</v>
      </c>
      <c r="J358">
        <f t="shared" si="15"/>
        <v>35</v>
      </c>
      <c r="K358">
        <f t="shared" si="16"/>
        <v>45</v>
      </c>
      <c r="L358" s="1">
        <f t="shared" si="17"/>
        <v>839.24549999999999</v>
      </c>
    </row>
    <row r="359" spans="1:12" x14ac:dyDescent="0.35">
      <c r="A359" t="s">
        <v>474</v>
      </c>
      <c r="B359" t="s">
        <v>290</v>
      </c>
      <c r="C359" t="s">
        <v>291</v>
      </c>
      <c r="D359" t="s">
        <v>291</v>
      </c>
      <c r="E359">
        <v>1</v>
      </c>
      <c r="F359">
        <v>1383.96</v>
      </c>
      <c r="G359">
        <v>25</v>
      </c>
      <c r="H359">
        <v>0</v>
      </c>
      <c r="I359">
        <v>0.5</v>
      </c>
      <c r="J359">
        <f t="shared" si="15"/>
        <v>50</v>
      </c>
      <c r="K359">
        <f t="shared" si="16"/>
        <v>15</v>
      </c>
      <c r="L359" s="1">
        <f t="shared" si="17"/>
        <v>830.37600000000009</v>
      </c>
    </row>
    <row r="360" spans="1:12" x14ac:dyDescent="0.35">
      <c r="A360" t="s">
        <v>475</v>
      </c>
      <c r="B360" t="s">
        <v>22</v>
      </c>
      <c r="C360" t="s">
        <v>23</v>
      </c>
      <c r="D360" t="s">
        <v>24</v>
      </c>
      <c r="E360">
        <v>1</v>
      </c>
      <c r="F360">
        <v>824.41800000000001</v>
      </c>
      <c r="G360">
        <v>324</v>
      </c>
      <c r="H360">
        <v>0</v>
      </c>
      <c r="I360">
        <v>0</v>
      </c>
      <c r="J360" t="str">
        <f t="shared" si="15"/>
        <v>no usage/demand</v>
      </c>
      <c r="K360">
        <f t="shared" si="16"/>
        <v>324</v>
      </c>
      <c r="L360" s="1">
        <f t="shared" si="17"/>
        <v>824.41800000000012</v>
      </c>
    </row>
    <row r="361" spans="1:12" x14ac:dyDescent="0.35">
      <c r="A361" t="s">
        <v>476</v>
      </c>
      <c r="B361" t="s">
        <v>22</v>
      </c>
      <c r="C361" t="s">
        <v>34</v>
      </c>
      <c r="D361" t="s">
        <v>96</v>
      </c>
      <c r="E361">
        <v>2</v>
      </c>
      <c r="F361">
        <v>1133.3664000000001</v>
      </c>
      <c r="G361">
        <v>144</v>
      </c>
      <c r="H361">
        <v>2</v>
      </c>
      <c r="I361">
        <v>0</v>
      </c>
      <c r="J361">
        <f t="shared" si="15"/>
        <v>72</v>
      </c>
      <c r="K361">
        <f t="shared" si="16"/>
        <v>104</v>
      </c>
      <c r="L361" s="1">
        <f t="shared" si="17"/>
        <v>818.54240000000004</v>
      </c>
    </row>
    <row r="362" spans="1:12" x14ac:dyDescent="0.35">
      <c r="A362" t="s">
        <v>477</v>
      </c>
      <c r="B362" t="s">
        <v>290</v>
      </c>
      <c r="C362" t="s">
        <v>291</v>
      </c>
      <c r="D362" t="s">
        <v>291</v>
      </c>
      <c r="E362">
        <v>1</v>
      </c>
      <c r="F362">
        <v>818.19569999999999</v>
      </c>
      <c r="G362">
        <v>7</v>
      </c>
      <c r="H362">
        <v>0</v>
      </c>
      <c r="I362">
        <v>0</v>
      </c>
      <c r="J362" t="str">
        <f t="shared" si="15"/>
        <v>no usage/demand</v>
      </c>
      <c r="K362">
        <f t="shared" si="16"/>
        <v>7</v>
      </c>
      <c r="L362" s="1">
        <f t="shared" si="17"/>
        <v>818.19569999999999</v>
      </c>
    </row>
    <row r="363" spans="1:12" x14ac:dyDescent="0.35">
      <c r="A363" t="s">
        <v>478</v>
      </c>
      <c r="B363" t="s">
        <v>22</v>
      </c>
      <c r="C363" t="s">
        <v>53</v>
      </c>
      <c r="D363" t="s">
        <v>154</v>
      </c>
      <c r="E363">
        <v>1</v>
      </c>
      <c r="F363">
        <v>2669.6448</v>
      </c>
      <c r="G363">
        <v>2304</v>
      </c>
      <c r="H363">
        <v>71</v>
      </c>
      <c r="I363">
        <v>80.3</v>
      </c>
      <c r="J363">
        <f t="shared" si="15"/>
        <v>28.692403486924036</v>
      </c>
      <c r="K363">
        <f t="shared" si="16"/>
        <v>698</v>
      </c>
      <c r="L363" s="1">
        <f t="shared" si="17"/>
        <v>808.77260000000001</v>
      </c>
    </row>
    <row r="364" spans="1:12" x14ac:dyDescent="0.35">
      <c r="A364" t="s">
        <v>479</v>
      </c>
      <c r="B364" t="s">
        <v>22</v>
      </c>
      <c r="C364" t="s">
        <v>53</v>
      </c>
      <c r="D364" t="s">
        <v>54</v>
      </c>
      <c r="E364">
        <v>1</v>
      </c>
      <c r="F364">
        <v>1105.2108000000001</v>
      </c>
      <c r="G364">
        <v>612</v>
      </c>
      <c r="H364">
        <v>7</v>
      </c>
      <c r="I364">
        <v>8.3000000000000007</v>
      </c>
      <c r="J364">
        <f t="shared" si="15"/>
        <v>73.734939759036138</v>
      </c>
      <c r="K364">
        <f t="shared" si="16"/>
        <v>446</v>
      </c>
      <c r="L364" s="1">
        <f t="shared" si="17"/>
        <v>805.43140000000005</v>
      </c>
    </row>
    <row r="365" spans="1:12" x14ac:dyDescent="0.35">
      <c r="A365" t="s">
        <v>480</v>
      </c>
      <c r="B365" t="s">
        <v>22</v>
      </c>
      <c r="C365" t="s">
        <v>34</v>
      </c>
      <c r="D365" t="s">
        <v>35</v>
      </c>
      <c r="E365">
        <v>2</v>
      </c>
      <c r="F365">
        <v>18238.7412</v>
      </c>
      <c r="G365">
        <v>16416</v>
      </c>
      <c r="H365">
        <v>785</v>
      </c>
      <c r="I365">
        <v>188.3</v>
      </c>
      <c r="J365">
        <f t="shared" si="15"/>
        <v>20.912101910828024</v>
      </c>
      <c r="K365">
        <f t="shared" si="16"/>
        <v>715.99999999999909</v>
      </c>
      <c r="L365" s="1">
        <f t="shared" si="17"/>
        <v>795.50065175438488</v>
      </c>
    </row>
    <row r="366" spans="1:12" x14ac:dyDescent="0.35">
      <c r="A366" t="s">
        <v>481</v>
      </c>
      <c r="B366" t="s">
        <v>22</v>
      </c>
      <c r="C366" t="s">
        <v>23</v>
      </c>
      <c r="D366" t="s">
        <v>24</v>
      </c>
      <c r="E366">
        <v>1</v>
      </c>
      <c r="F366">
        <v>1307.4888000000001</v>
      </c>
      <c r="G366">
        <v>456</v>
      </c>
      <c r="H366">
        <v>9</v>
      </c>
      <c r="I366">
        <v>7.4</v>
      </c>
      <c r="J366">
        <f t="shared" si="15"/>
        <v>50.666666666666664</v>
      </c>
      <c r="K366">
        <f t="shared" si="16"/>
        <v>276</v>
      </c>
      <c r="L366" s="1">
        <f t="shared" si="17"/>
        <v>791.37480000000005</v>
      </c>
    </row>
    <row r="367" spans="1:12" x14ac:dyDescent="0.35">
      <c r="A367" t="s">
        <v>482</v>
      </c>
      <c r="B367" t="s">
        <v>22</v>
      </c>
      <c r="C367" t="s">
        <v>34</v>
      </c>
      <c r="D367" t="s">
        <v>35</v>
      </c>
      <c r="E367">
        <v>2</v>
      </c>
      <c r="F367">
        <v>993.15719999999999</v>
      </c>
      <c r="G367">
        <v>540</v>
      </c>
      <c r="H367">
        <v>5</v>
      </c>
      <c r="I367">
        <v>5.6</v>
      </c>
      <c r="J367">
        <f t="shared" si="15"/>
        <v>96.428571428571431</v>
      </c>
      <c r="K367">
        <f t="shared" si="16"/>
        <v>428</v>
      </c>
      <c r="L367" s="1">
        <f t="shared" si="17"/>
        <v>787.16904</v>
      </c>
    </row>
    <row r="368" spans="1:12" x14ac:dyDescent="0.35">
      <c r="A368" t="s">
        <v>483</v>
      </c>
      <c r="B368" t="s">
        <v>16</v>
      </c>
      <c r="C368" t="s">
        <v>144</v>
      </c>
      <c r="D368" t="s">
        <v>144</v>
      </c>
      <c r="E368">
        <v>1</v>
      </c>
      <c r="F368">
        <v>786.6</v>
      </c>
      <c r="G368">
        <v>1000</v>
      </c>
      <c r="H368">
        <v>0</v>
      </c>
      <c r="I368">
        <v>0</v>
      </c>
      <c r="J368" t="str">
        <f t="shared" si="15"/>
        <v>no usage/demand</v>
      </c>
      <c r="K368">
        <f t="shared" si="16"/>
        <v>1000</v>
      </c>
      <c r="L368" s="1">
        <f t="shared" si="17"/>
        <v>786.6</v>
      </c>
    </row>
    <row r="369" spans="1:12" x14ac:dyDescent="0.35">
      <c r="A369" t="s">
        <v>484</v>
      </c>
      <c r="B369" t="s">
        <v>22</v>
      </c>
      <c r="C369" t="s">
        <v>34</v>
      </c>
      <c r="D369" t="s">
        <v>96</v>
      </c>
      <c r="E369">
        <v>2</v>
      </c>
      <c r="F369">
        <v>1727.2655999999999</v>
      </c>
      <c r="G369">
        <v>2052</v>
      </c>
      <c r="H369">
        <v>56</v>
      </c>
      <c r="I369">
        <v>19.399999999999999</v>
      </c>
      <c r="J369">
        <f t="shared" si="15"/>
        <v>36.642857142857146</v>
      </c>
      <c r="K369">
        <f t="shared" si="16"/>
        <v>932.00000000000023</v>
      </c>
      <c r="L369" s="1">
        <f t="shared" si="17"/>
        <v>784.5085473684212</v>
      </c>
    </row>
    <row r="370" spans="1:12" x14ac:dyDescent="0.35">
      <c r="A370" t="s">
        <v>485</v>
      </c>
      <c r="B370" t="s">
        <v>22</v>
      </c>
      <c r="C370" t="s">
        <v>34</v>
      </c>
      <c r="D370" t="s">
        <v>61</v>
      </c>
      <c r="E370">
        <v>2</v>
      </c>
      <c r="F370">
        <v>1328.1851999999999</v>
      </c>
      <c r="G370">
        <v>1020</v>
      </c>
      <c r="H370">
        <v>21</v>
      </c>
      <c r="I370">
        <v>20.3</v>
      </c>
      <c r="J370">
        <f t="shared" si="15"/>
        <v>48.571428571428569</v>
      </c>
      <c r="K370">
        <f t="shared" si="16"/>
        <v>600</v>
      </c>
      <c r="L370" s="1">
        <f t="shared" si="17"/>
        <v>781.28541176470583</v>
      </c>
    </row>
    <row r="371" spans="1:12" x14ac:dyDescent="0.35">
      <c r="A371" t="s">
        <v>486</v>
      </c>
      <c r="B371" t="s">
        <v>161</v>
      </c>
      <c r="C371" t="s">
        <v>227</v>
      </c>
      <c r="D371" t="s">
        <v>228</v>
      </c>
      <c r="E371">
        <v>1</v>
      </c>
      <c r="F371">
        <v>990.52800000000002</v>
      </c>
      <c r="G371">
        <v>66</v>
      </c>
      <c r="H371">
        <v>0</v>
      </c>
      <c r="I371">
        <v>0.7</v>
      </c>
      <c r="J371">
        <f t="shared" si="15"/>
        <v>94.285714285714292</v>
      </c>
      <c r="K371">
        <f t="shared" si="16"/>
        <v>52</v>
      </c>
      <c r="L371" s="1">
        <f t="shared" si="17"/>
        <v>780.41600000000005</v>
      </c>
    </row>
    <row r="372" spans="1:12" x14ac:dyDescent="0.35">
      <c r="A372" t="s">
        <v>487</v>
      </c>
      <c r="B372" t="s">
        <v>22</v>
      </c>
      <c r="C372" t="s">
        <v>53</v>
      </c>
      <c r="D372" t="s">
        <v>54</v>
      </c>
      <c r="E372">
        <v>2</v>
      </c>
      <c r="F372">
        <v>5839.6031999999996</v>
      </c>
      <c r="G372">
        <v>3024</v>
      </c>
      <c r="H372">
        <v>131</v>
      </c>
      <c r="I372">
        <v>124.6</v>
      </c>
      <c r="J372">
        <f t="shared" si="15"/>
        <v>23.083969465648856</v>
      </c>
      <c r="K372">
        <f t="shared" si="16"/>
        <v>404.00000000000017</v>
      </c>
      <c r="L372" s="1">
        <f t="shared" si="17"/>
        <v>780.15862857142884</v>
      </c>
    </row>
    <row r="373" spans="1:12" x14ac:dyDescent="0.35">
      <c r="A373" t="s">
        <v>488</v>
      </c>
      <c r="B373" t="s">
        <v>22</v>
      </c>
      <c r="C373" t="s">
        <v>78</v>
      </c>
      <c r="D373" t="s">
        <v>199</v>
      </c>
      <c r="E373">
        <v>1</v>
      </c>
      <c r="F373">
        <v>779.40719999999999</v>
      </c>
      <c r="G373">
        <v>468</v>
      </c>
      <c r="H373">
        <v>0</v>
      </c>
      <c r="I373">
        <v>0</v>
      </c>
      <c r="J373" t="str">
        <f t="shared" si="15"/>
        <v>no usage/demand</v>
      </c>
      <c r="K373">
        <f t="shared" si="16"/>
        <v>468</v>
      </c>
      <c r="L373" s="1">
        <f t="shared" si="17"/>
        <v>779.40719999999999</v>
      </c>
    </row>
    <row r="374" spans="1:12" x14ac:dyDescent="0.35">
      <c r="A374" t="s">
        <v>489</v>
      </c>
      <c r="B374" t="s">
        <v>161</v>
      </c>
      <c r="C374" t="s">
        <v>227</v>
      </c>
      <c r="D374" t="s">
        <v>228</v>
      </c>
      <c r="E374">
        <v>1</v>
      </c>
      <c r="F374">
        <v>1776.1315</v>
      </c>
      <c r="G374">
        <v>114</v>
      </c>
      <c r="H374">
        <v>0</v>
      </c>
      <c r="I374">
        <v>3.2</v>
      </c>
      <c r="J374">
        <f t="shared" si="15"/>
        <v>35.625</v>
      </c>
      <c r="K374">
        <f t="shared" si="16"/>
        <v>50</v>
      </c>
      <c r="L374" s="1">
        <f t="shared" si="17"/>
        <v>779.00504385964916</v>
      </c>
    </row>
    <row r="375" spans="1:12" x14ac:dyDescent="0.35">
      <c r="A375" t="s">
        <v>490</v>
      </c>
      <c r="B375" t="s">
        <v>22</v>
      </c>
      <c r="C375" t="s">
        <v>78</v>
      </c>
      <c r="D375" t="s">
        <v>379</v>
      </c>
      <c r="E375">
        <v>1</v>
      </c>
      <c r="F375">
        <v>2693.1743999999999</v>
      </c>
      <c r="G375">
        <v>2016</v>
      </c>
      <c r="H375">
        <v>57</v>
      </c>
      <c r="I375">
        <v>72</v>
      </c>
      <c r="J375">
        <f t="shared" si="15"/>
        <v>28</v>
      </c>
      <c r="K375">
        <f t="shared" si="16"/>
        <v>576</v>
      </c>
      <c r="L375" s="1">
        <f t="shared" si="17"/>
        <v>769.47839999999997</v>
      </c>
    </row>
    <row r="376" spans="1:12" x14ac:dyDescent="0.35">
      <c r="A376" t="s">
        <v>491</v>
      </c>
      <c r="B376" t="s">
        <v>22</v>
      </c>
      <c r="C376" t="s">
        <v>274</v>
      </c>
      <c r="D376" t="s">
        <v>275</v>
      </c>
      <c r="E376">
        <v>2</v>
      </c>
      <c r="F376">
        <v>767.86800000000005</v>
      </c>
      <c r="G376">
        <v>384</v>
      </c>
      <c r="H376">
        <v>0</v>
      </c>
      <c r="I376">
        <v>0</v>
      </c>
      <c r="J376" t="str">
        <f t="shared" si="15"/>
        <v>no usage/demand</v>
      </c>
      <c r="K376">
        <f t="shared" si="16"/>
        <v>384</v>
      </c>
      <c r="L376" s="1">
        <f t="shared" si="17"/>
        <v>767.86800000000005</v>
      </c>
    </row>
    <row r="377" spans="1:12" x14ac:dyDescent="0.35">
      <c r="A377" t="s">
        <v>492</v>
      </c>
      <c r="B377" t="s">
        <v>22</v>
      </c>
      <c r="C377" t="s">
        <v>53</v>
      </c>
      <c r="D377" t="s">
        <v>54</v>
      </c>
      <c r="E377">
        <v>2</v>
      </c>
      <c r="F377">
        <v>1987.5264</v>
      </c>
      <c r="G377">
        <v>192</v>
      </c>
      <c r="H377">
        <v>6</v>
      </c>
      <c r="I377">
        <v>3.7</v>
      </c>
      <c r="J377">
        <f t="shared" si="15"/>
        <v>32</v>
      </c>
      <c r="K377">
        <f t="shared" si="16"/>
        <v>72</v>
      </c>
      <c r="L377" s="1">
        <f t="shared" si="17"/>
        <v>745.3223999999999</v>
      </c>
    </row>
    <row r="378" spans="1:12" x14ac:dyDescent="0.35">
      <c r="A378" t="s">
        <v>493</v>
      </c>
      <c r="B378" t="s">
        <v>22</v>
      </c>
      <c r="C378" t="s">
        <v>34</v>
      </c>
      <c r="D378" t="s">
        <v>138</v>
      </c>
      <c r="E378">
        <v>1</v>
      </c>
      <c r="F378">
        <v>2014.1784</v>
      </c>
      <c r="G378">
        <v>2808</v>
      </c>
      <c r="H378">
        <v>49</v>
      </c>
      <c r="I378">
        <v>88.6</v>
      </c>
      <c r="J378">
        <f t="shared" si="15"/>
        <v>31.693002257336346</v>
      </c>
      <c r="K378">
        <f t="shared" si="16"/>
        <v>1036.0000000000002</v>
      </c>
      <c r="L378" s="1">
        <f t="shared" si="17"/>
        <v>743.12280000000021</v>
      </c>
    </row>
    <row r="379" spans="1:12" x14ac:dyDescent="0.35">
      <c r="A379" t="s">
        <v>494</v>
      </c>
      <c r="B379" t="s">
        <v>22</v>
      </c>
      <c r="C379" t="s">
        <v>274</v>
      </c>
      <c r="D379" t="s">
        <v>275</v>
      </c>
      <c r="E379">
        <v>1</v>
      </c>
      <c r="F379">
        <v>1629.2016000000001</v>
      </c>
      <c r="G379">
        <v>1872</v>
      </c>
      <c r="H379">
        <v>51</v>
      </c>
      <c r="I379">
        <v>46.2</v>
      </c>
      <c r="J379">
        <f t="shared" si="15"/>
        <v>36.705882352941174</v>
      </c>
      <c r="K379">
        <f t="shared" si="16"/>
        <v>851.99999999999989</v>
      </c>
      <c r="L379" s="1">
        <f t="shared" si="17"/>
        <v>741.49559999999997</v>
      </c>
    </row>
    <row r="380" spans="1:12" x14ac:dyDescent="0.35">
      <c r="A380" t="s">
        <v>495</v>
      </c>
      <c r="B380" t="s">
        <v>22</v>
      </c>
      <c r="C380" t="s">
        <v>53</v>
      </c>
      <c r="D380" t="s">
        <v>54</v>
      </c>
      <c r="E380">
        <v>2</v>
      </c>
      <c r="F380">
        <v>738.21960000000001</v>
      </c>
      <c r="G380">
        <v>324</v>
      </c>
      <c r="H380">
        <v>0</v>
      </c>
      <c r="I380">
        <v>0</v>
      </c>
      <c r="J380" t="str">
        <f t="shared" si="15"/>
        <v>no usage/demand</v>
      </c>
      <c r="K380">
        <f t="shared" si="16"/>
        <v>324</v>
      </c>
      <c r="L380" s="1">
        <f t="shared" si="17"/>
        <v>738.21960000000001</v>
      </c>
    </row>
    <row r="381" spans="1:12" x14ac:dyDescent="0.35">
      <c r="A381" t="s">
        <v>496</v>
      </c>
      <c r="B381" t="s">
        <v>43</v>
      </c>
      <c r="C381" t="s">
        <v>201</v>
      </c>
      <c r="D381" t="s">
        <v>201</v>
      </c>
      <c r="E381">
        <v>1</v>
      </c>
      <c r="F381">
        <v>1025.0884000000001</v>
      </c>
      <c r="G381">
        <v>7</v>
      </c>
      <c r="H381">
        <v>0</v>
      </c>
      <c r="I381">
        <v>0.1</v>
      </c>
      <c r="J381">
        <f t="shared" si="15"/>
        <v>70</v>
      </c>
      <c r="K381">
        <f t="shared" si="16"/>
        <v>5</v>
      </c>
      <c r="L381" s="1">
        <f t="shared" si="17"/>
        <v>732.20600000000002</v>
      </c>
    </row>
    <row r="382" spans="1:12" x14ac:dyDescent="0.35">
      <c r="A382" t="s">
        <v>497</v>
      </c>
      <c r="B382" t="s">
        <v>16</v>
      </c>
      <c r="C382" t="s">
        <v>498</v>
      </c>
      <c r="D382" t="s">
        <v>498</v>
      </c>
      <c r="E382">
        <v>1</v>
      </c>
      <c r="F382">
        <v>1029</v>
      </c>
      <c r="G382">
        <v>100</v>
      </c>
      <c r="H382">
        <v>1</v>
      </c>
      <c r="I382">
        <v>1.5</v>
      </c>
      <c r="J382">
        <f t="shared" si="15"/>
        <v>66.666666666666671</v>
      </c>
      <c r="K382">
        <f t="shared" si="16"/>
        <v>70</v>
      </c>
      <c r="L382" s="1">
        <f t="shared" si="17"/>
        <v>720.3</v>
      </c>
    </row>
    <row r="383" spans="1:12" x14ac:dyDescent="0.35">
      <c r="A383" t="s">
        <v>499</v>
      </c>
      <c r="B383" t="s">
        <v>22</v>
      </c>
      <c r="C383" t="s">
        <v>78</v>
      </c>
      <c r="D383" t="s">
        <v>379</v>
      </c>
      <c r="E383">
        <v>2</v>
      </c>
      <c r="F383">
        <v>1225.008</v>
      </c>
      <c r="G383">
        <v>1152</v>
      </c>
      <c r="H383">
        <v>24</v>
      </c>
      <c r="I383">
        <v>13.9</v>
      </c>
      <c r="J383">
        <f t="shared" si="15"/>
        <v>48</v>
      </c>
      <c r="K383">
        <f t="shared" si="16"/>
        <v>672</v>
      </c>
      <c r="L383" s="1">
        <f t="shared" si="17"/>
        <v>714.58799999999997</v>
      </c>
    </row>
    <row r="384" spans="1:12" x14ac:dyDescent="0.35">
      <c r="A384" t="s">
        <v>500</v>
      </c>
      <c r="B384" t="s">
        <v>22</v>
      </c>
      <c r="C384" t="s">
        <v>53</v>
      </c>
      <c r="D384" t="s">
        <v>54</v>
      </c>
      <c r="E384">
        <v>1</v>
      </c>
      <c r="F384">
        <v>700.74</v>
      </c>
      <c r="G384">
        <v>360</v>
      </c>
      <c r="H384">
        <v>0</v>
      </c>
      <c r="I384">
        <v>0</v>
      </c>
      <c r="J384" t="str">
        <f t="shared" si="15"/>
        <v>no usage/demand</v>
      </c>
      <c r="K384">
        <f t="shared" si="16"/>
        <v>360</v>
      </c>
      <c r="L384" s="1">
        <f t="shared" si="17"/>
        <v>700.74</v>
      </c>
    </row>
    <row r="385" spans="1:12" x14ac:dyDescent="0.35">
      <c r="A385" t="s">
        <v>501</v>
      </c>
      <c r="B385" t="s">
        <v>19</v>
      </c>
      <c r="C385" t="s">
        <v>239</v>
      </c>
      <c r="D385" t="s">
        <v>239</v>
      </c>
      <c r="E385">
        <v>1</v>
      </c>
      <c r="F385">
        <v>1782.0719999999999</v>
      </c>
      <c r="G385">
        <v>4240</v>
      </c>
      <c r="H385">
        <v>74</v>
      </c>
      <c r="I385">
        <v>129.19999999999999</v>
      </c>
      <c r="J385">
        <f t="shared" si="15"/>
        <v>32.817337461300312</v>
      </c>
      <c r="K385">
        <f t="shared" si="16"/>
        <v>1656.0000000000002</v>
      </c>
      <c r="L385" s="1">
        <f t="shared" si="17"/>
        <v>696.01679999999999</v>
      </c>
    </row>
    <row r="386" spans="1:12" x14ac:dyDescent="0.35">
      <c r="A386" t="s">
        <v>502</v>
      </c>
      <c r="B386" t="s">
        <v>22</v>
      </c>
      <c r="C386" t="s">
        <v>34</v>
      </c>
      <c r="D386" t="s">
        <v>138</v>
      </c>
      <c r="E386">
        <v>1</v>
      </c>
      <c r="F386">
        <v>743.64480000000003</v>
      </c>
      <c r="G386">
        <v>864</v>
      </c>
      <c r="H386">
        <v>0</v>
      </c>
      <c r="I386">
        <v>2.8</v>
      </c>
      <c r="J386">
        <f t="shared" ref="J386:J449" si="18">IFERROR(G386/MAX(I386,H386),"no usage/demand")</f>
        <v>308.57142857142861</v>
      </c>
      <c r="K386">
        <f t="shared" ref="K386:K449" si="19">IFERROR(IF(J386="no usage/demand",G386,IF(J386&gt;20,(J386-20)*MAX(H386,I386),0)),"Check")</f>
        <v>808.00000000000011</v>
      </c>
      <c r="L386" s="1">
        <f t="shared" ref="L386:L449" si="20">IFERROR(F386/G386*K386,0)</f>
        <v>695.44560000000013</v>
      </c>
    </row>
    <row r="387" spans="1:12" x14ac:dyDescent="0.35">
      <c r="A387" t="s">
        <v>503</v>
      </c>
      <c r="B387" t="s">
        <v>22</v>
      </c>
      <c r="C387" t="s">
        <v>34</v>
      </c>
      <c r="D387" t="s">
        <v>138</v>
      </c>
      <c r="E387">
        <v>2</v>
      </c>
      <c r="F387">
        <v>694.95839999999998</v>
      </c>
      <c r="G387">
        <v>864</v>
      </c>
      <c r="H387">
        <v>0</v>
      </c>
      <c r="I387">
        <v>0</v>
      </c>
      <c r="J387" t="str">
        <f t="shared" si="18"/>
        <v>no usage/demand</v>
      </c>
      <c r="K387">
        <f t="shared" si="19"/>
        <v>864</v>
      </c>
      <c r="L387" s="1">
        <f t="shared" si="20"/>
        <v>694.95839999999998</v>
      </c>
    </row>
    <row r="388" spans="1:12" x14ac:dyDescent="0.35">
      <c r="A388" t="s">
        <v>504</v>
      </c>
      <c r="B388" t="s">
        <v>16</v>
      </c>
      <c r="C388" t="s">
        <v>28</v>
      </c>
      <c r="D388" t="s">
        <v>28</v>
      </c>
      <c r="E388">
        <v>1</v>
      </c>
      <c r="F388">
        <v>693.99</v>
      </c>
      <c r="G388">
        <v>300</v>
      </c>
      <c r="H388">
        <v>0</v>
      </c>
      <c r="I388">
        <v>0</v>
      </c>
      <c r="J388" t="str">
        <f t="shared" si="18"/>
        <v>no usage/demand</v>
      </c>
      <c r="K388">
        <f t="shared" si="19"/>
        <v>300</v>
      </c>
      <c r="L388" s="1">
        <f t="shared" si="20"/>
        <v>693.99</v>
      </c>
    </row>
    <row r="389" spans="1:12" x14ac:dyDescent="0.35">
      <c r="A389" t="s">
        <v>505</v>
      </c>
      <c r="B389" t="s">
        <v>22</v>
      </c>
      <c r="C389" t="s">
        <v>34</v>
      </c>
      <c r="D389" t="s">
        <v>96</v>
      </c>
      <c r="E389">
        <v>1</v>
      </c>
      <c r="F389">
        <v>749.08810000000005</v>
      </c>
      <c r="G389">
        <v>720</v>
      </c>
      <c r="H389">
        <v>0</v>
      </c>
      <c r="I389">
        <v>2.8</v>
      </c>
      <c r="J389">
        <f t="shared" si="18"/>
        <v>257.14285714285717</v>
      </c>
      <c r="K389">
        <f t="shared" si="19"/>
        <v>664</v>
      </c>
      <c r="L389" s="1">
        <f t="shared" si="20"/>
        <v>690.8256922222223</v>
      </c>
    </row>
    <row r="390" spans="1:12" x14ac:dyDescent="0.35">
      <c r="A390" t="s">
        <v>506</v>
      </c>
      <c r="B390" t="s">
        <v>22</v>
      </c>
      <c r="C390" t="s">
        <v>23</v>
      </c>
      <c r="D390" t="s">
        <v>24</v>
      </c>
      <c r="E390">
        <v>1</v>
      </c>
      <c r="F390">
        <v>1469.2919999999999</v>
      </c>
      <c r="G390">
        <v>264</v>
      </c>
      <c r="H390">
        <v>7</v>
      </c>
      <c r="I390">
        <v>0</v>
      </c>
      <c r="J390">
        <f t="shared" si="18"/>
        <v>37.714285714285715</v>
      </c>
      <c r="K390">
        <f t="shared" si="19"/>
        <v>124</v>
      </c>
      <c r="L390" s="1">
        <f t="shared" si="20"/>
        <v>690.12200000000007</v>
      </c>
    </row>
    <row r="391" spans="1:12" x14ac:dyDescent="0.35">
      <c r="A391" t="s">
        <v>507</v>
      </c>
      <c r="B391" t="s">
        <v>150</v>
      </c>
      <c r="C391" t="s">
        <v>184</v>
      </c>
      <c r="D391" t="s">
        <v>185</v>
      </c>
      <c r="E391">
        <v>1</v>
      </c>
      <c r="F391">
        <v>973.08</v>
      </c>
      <c r="G391">
        <v>204</v>
      </c>
      <c r="H391">
        <v>3</v>
      </c>
      <c r="I391">
        <v>0.9</v>
      </c>
      <c r="J391">
        <f t="shared" si="18"/>
        <v>68</v>
      </c>
      <c r="K391">
        <f t="shared" si="19"/>
        <v>144</v>
      </c>
      <c r="L391" s="1">
        <f t="shared" si="20"/>
        <v>686.88000000000011</v>
      </c>
    </row>
    <row r="392" spans="1:12" x14ac:dyDescent="0.35">
      <c r="A392" t="s">
        <v>508</v>
      </c>
      <c r="B392" t="s">
        <v>22</v>
      </c>
      <c r="C392" t="s">
        <v>23</v>
      </c>
      <c r="D392" t="s">
        <v>24</v>
      </c>
      <c r="E392">
        <v>1</v>
      </c>
      <c r="F392">
        <v>827.30160000000001</v>
      </c>
      <c r="G392">
        <v>324</v>
      </c>
      <c r="H392">
        <v>0</v>
      </c>
      <c r="I392">
        <v>2.8</v>
      </c>
      <c r="J392">
        <f t="shared" si="18"/>
        <v>115.71428571428572</v>
      </c>
      <c r="K392">
        <f t="shared" si="19"/>
        <v>268</v>
      </c>
      <c r="L392" s="1">
        <f t="shared" si="20"/>
        <v>684.31119999999999</v>
      </c>
    </row>
    <row r="393" spans="1:12" x14ac:dyDescent="0.35">
      <c r="A393" t="s">
        <v>509</v>
      </c>
      <c r="B393" t="s">
        <v>16</v>
      </c>
      <c r="C393" t="s">
        <v>510</v>
      </c>
      <c r="D393" t="s">
        <v>510</v>
      </c>
      <c r="E393">
        <v>1</v>
      </c>
      <c r="F393">
        <v>682.99</v>
      </c>
      <c r="G393">
        <v>70</v>
      </c>
      <c r="H393">
        <v>0</v>
      </c>
      <c r="I393">
        <v>0</v>
      </c>
      <c r="J393" t="str">
        <f t="shared" si="18"/>
        <v>no usage/demand</v>
      </c>
      <c r="K393">
        <f t="shared" si="19"/>
        <v>70</v>
      </c>
      <c r="L393" s="1">
        <f t="shared" si="20"/>
        <v>682.99</v>
      </c>
    </row>
    <row r="394" spans="1:12" x14ac:dyDescent="0.35">
      <c r="A394" t="s">
        <v>511</v>
      </c>
      <c r="B394" t="s">
        <v>22</v>
      </c>
      <c r="C394" t="s">
        <v>53</v>
      </c>
      <c r="D394" t="s">
        <v>54</v>
      </c>
      <c r="E394">
        <v>1</v>
      </c>
      <c r="F394">
        <v>5892.2136</v>
      </c>
      <c r="G394">
        <v>3276</v>
      </c>
      <c r="H394">
        <v>145</v>
      </c>
      <c r="I394">
        <v>102.5</v>
      </c>
      <c r="J394">
        <f t="shared" si="18"/>
        <v>22.593103448275862</v>
      </c>
      <c r="K394">
        <f t="shared" si="19"/>
        <v>376</v>
      </c>
      <c r="L394" s="1">
        <f t="shared" si="20"/>
        <v>676.27359999999999</v>
      </c>
    </row>
    <row r="395" spans="1:12" x14ac:dyDescent="0.35">
      <c r="A395" t="s">
        <v>512</v>
      </c>
      <c r="B395" t="s">
        <v>43</v>
      </c>
      <c r="C395" t="s">
        <v>281</v>
      </c>
      <c r="D395" t="s">
        <v>281</v>
      </c>
      <c r="E395">
        <v>1</v>
      </c>
      <c r="F395">
        <v>1712.8485000000001</v>
      </c>
      <c r="G395">
        <v>33</v>
      </c>
      <c r="H395">
        <v>1</v>
      </c>
      <c r="I395">
        <v>0</v>
      </c>
      <c r="J395">
        <f t="shared" si="18"/>
        <v>33</v>
      </c>
      <c r="K395">
        <f t="shared" si="19"/>
        <v>13</v>
      </c>
      <c r="L395" s="1">
        <f t="shared" si="20"/>
        <v>674.75850000000003</v>
      </c>
    </row>
    <row r="396" spans="1:12" x14ac:dyDescent="0.35">
      <c r="A396" t="s">
        <v>513</v>
      </c>
      <c r="B396" t="s">
        <v>40</v>
      </c>
      <c r="C396" t="s">
        <v>124</v>
      </c>
      <c r="D396" t="s">
        <v>124</v>
      </c>
      <c r="E396">
        <v>1</v>
      </c>
      <c r="F396">
        <v>674.20360000000005</v>
      </c>
      <c r="G396">
        <v>23</v>
      </c>
      <c r="H396">
        <v>0</v>
      </c>
      <c r="I396">
        <v>0</v>
      </c>
      <c r="J396" t="str">
        <f t="shared" si="18"/>
        <v>no usage/demand</v>
      </c>
      <c r="K396">
        <f t="shared" si="19"/>
        <v>23</v>
      </c>
      <c r="L396" s="1">
        <f t="shared" si="20"/>
        <v>674.20360000000005</v>
      </c>
    </row>
    <row r="397" spans="1:12" x14ac:dyDescent="0.35">
      <c r="A397" t="s">
        <v>514</v>
      </c>
      <c r="B397" t="s">
        <v>43</v>
      </c>
      <c r="C397" t="s">
        <v>140</v>
      </c>
      <c r="D397" t="s">
        <v>140</v>
      </c>
      <c r="E397">
        <v>1</v>
      </c>
      <c r="F397">
        <v>895.01430000000005</v>
      </c>
      <c r="G397">
        <v>8</v>
      </c>
      <c r="H397">
        <v>0</v>
      </c>
      <c r="I397">
        <v>0.1</v>
      </c>
      <c r="J397">
        <f t="shared" si="18"/>
        <v>80</v>
      </c>
      <c r="K397">
        <f t="shared" si="19"/>
        <v>6</v>
      </c>
      <c r="L397" s="1">
        <f t="shared" si="20"/>
        <v>671.26072500000009</v>
      </c>
    </row>
    <row r="398" spans="1:12" x14ac:dyDescent="0.35">
      <c r="A398" t="s">
        <v>515</v>
      </c>
      <c r="B398" t="s">
        <v>22</v>
      </c>
      <c r="C398" t="s">
        <v>23</v>
      </c>
      <c r="D398" t="s">
        <v>24</v>
      </c>
      <c r="E398">
        <v>2</v>
      </c>
      <c r="F398">
        <v>669.62160000000006</v>
      </c>
      <c r="G398">
        <v>204</v>
      </c>
      <c r="H398">
        <v>0</v>
      </c>
      <c r="I398">
        <v>0</v>
      </c>
      <c r="J398" t="str">
        <f t="shared" si="18"/>
        <v>no usage/demand</v>
      </c>
      <c r="K398">
        <f t="shared" si="19"/>
        <v>204</v>
      </c>
      <c r="L398" s="1">
        <f t="shared" si="20"/>
        <v>669.62160000000006</v>
      </c>
    </row>
    <row r="399" spans="1:12" x14ac:dyDescent="0.35">
      <c r="A399" t="s">
        <v>516</v>
      </c>
      <c r="B399" t="s">
        <v>22</v>
      </c>
      <c r="C399" t="s">
        <v>34</v>
      </c>
      <c r="D399" t="s">
        <v>138</v>
      </c>
      <c r="E399">
        <v>1</v>
      </c>
      <c r="F399">
        <v>664.15679999999998</v>
      </c>
      <c r="G399">
        <v>288</v>
      </c>
      <c r="H399">
        <v>0</v>
      </c>
      <c r="I399">
        <v>0</v>
      </c>
      <c r="J399" t="str">
        <f t="shared" si="18"/>
        <v>no usage/demand</v>
      </c>
      <c r="K399">
        <f t="shared" si="19"/>
        <v>288</v>
      </c>
      <c r="L399" s="1">
        <f t="shared" si="20"/>
        <v>664.15679999999998</v>
      </c>
    </row>
    <row r="400" spans="1:12" x14ac:dyDescent="0.35">
      <c r="A400" t="s">
        <v>517</v>
      </c>
      <c r="B400" t="s">
        <v>22</v>
      </c>
      <c r="C400" t="s">
        <v>23</v>
      </c>
      <c r="D400" t="s">
        <v>24</v>
      </c>
      <c r="E400">
        <v>2</v>
      </c>
      <c r="F400">
        <v>2233.5695999999998</v>
      </c>
      <c r="G400">
        <v>1656</v>
      </c>
      <c r="H400">
        <v>36</v>
      </c>
      <c r="I400">
        <v>58.2</v>
      </c>
      <c r="J400">
        <f t="shared" si="18"/>
        <v>28.453608247422679</v>
      </c>
      <c r="K400">
        <f t="shared" si="19"/>
        <v>491.99999999999994</v>
      </c>
      <c r="L400" s="1">
        <f t="shared" si="20"/>
        <v>663.59676521739118</v>
      </c>
    </row>
    <row r="401" spans="1:12" x14ac:dyDescent="0.35">
      <c r="A401" t="s">
        <v>518</v>
      </c>
      <c r="B401" t="s">
        <v>22</v>
      </c>
      <c r="C401" t="s">
        <v>53</v>
      </c>
      <c r="D401" t="s">
        <v>180</v>
      </c>
      <c r="E401">
        <v>1</v>
      </c>
      <c r="F401">
        <v>4281.8069999999998</v>
      </c>
      <c r="G401">
        <v>354</v>
      </c>
      <c r="H401">
        <v>15</v>
      </c>
      <c r="I401">
        <v>8.8000000000000007</v>
      </c>
      <c r="J401">
        <f t="shared" si="18"/>
        <v>23.6</v>
      </c>
      <c r="K401">
        <f t="shared" si="19"/>
        <v>54.000000000000021</v>
      </c>
      <c r="L401" s="1">
        <f t="shared" si="20"/>
        <v>653.15700000000027</v>
      </c>
    </row>
    <row r="402" spans="1:12" x14ac:dyDescent="0.35">
      <c r="A402" t="s">
        <v>519</v>
      </c>
      <c r="B402" t="s">
        <v>22</v>
      </c>
      <c r="C402" t="s">
        <v>78</v>
      </c>
      <c r="D402" t="s">
        <v>379</v>
      </c>
      <c r="E402">
        <v>2</v>
      </c>
      <c r="F402">
        <v>949.96440000000007</v>
      </c>
      <c r="G402">
        <v>828</v>
      </c>
      <c r="H402">
        <v>13</v>
      </c>
      <c r="I402">
        <v>2.8</v>
      </c>
      <c r="J402">
        <f t="shared" si="18"/>
        <v>63.692307692307693</v>
      </c>
      <c r="K402">
        <f t="shared" si="19"/>
        <v>568</v>
      </c>
      <c r="L402" s="1">
        <f t="shared" si="20"/>
        <v>651.66639999999995</v>
      </c>
    </row>
    <row r="403" spans="1:12" x14ac:dyDescent="0.35">
      <c r="A403" t="s">
        <v>520</v>
      </c>
      <c r="B403" t="s">
        <v>22</v>
      </c>
      <c r="C403" t="s">
        <v>53</v>
      </c>
      <c r="D403" t="s">
        <v>54</v>
      </c>
      <c r="E403">
        <v>2</v>
      </c>
      <c r="F403">
        <v>818.10720000000003</v>
      </c>
      <c r="G403">
        <v>96</v>
      </c>
      <c r="H403">
        <v>1</v>
      </c>
      <c r="I403">
        <v>0</v>
      </c>
      <c r="J403">
        <f t="shared" si="18"/>
        <v>96</v>
      </c>
      <c r="K403">
        <f t="shared" si="19"/>
        <v>76</v>
      </c>
      <c r="L403" s="1">
        <f t="shared" si="20"/>
        <v>647.66820000000007</v>
      </c>
    </row>
    <row r="404" spans="1:12" x14ac:dyDescent="0.35">
      <c r="A404" t="s">
        <v>521</v>
      </c>
      <c r="B404" t="s">
        <v>22</v>
      </c>
      <c r="C404" t="s">
        <v>274</v>
      </c>
      <c r="D404" t="s">
        <v>275</v>
      </c>
      <c r="E404">
        <v>1</v>
      </c>
      <c r="F404">
        <v>644.18640000000005</v>
      </c>
      <c r="G404">
        <v>312</v>
      </c>
      <c r="H404">
        <v>0</v>
      </c>
      <c r="I404">
        <v>0</v>
      </c>
      <c r="J404" t="str">
        <f t="shared" si="18"/>
        <v>no usage/demand</v>
      </c>
      <c r="K404">
        <f t="shared" si="19"/>
        <v>312</v>
      </c>
      <c r="L404" s="1">
        <f t="shared" si="20"/>
        <v>644.18640000000005</v>
      </c>
    </row>
    <row r="405" spans="1:12" x14ac:dyDescent="0.35">
      <c r="A405" t="s">
        <v>522</v>
      </c>
      <c r="B405" t="s">
        <v>22</v>
      </c>
      <c r="C405" t="s">
        <v>23</v>
      </c>
      <c r="D405" t="s">
        <v>24</v>
      </c>
      <c r="E405">
        <v>1</v>
      </c>
      <c r="F405">
        <v>636.70320000000004</v>
      </c>
      <c r="G405">
        <v>216</v>
      </c>
      <c r="H405">
        <v>0</v>
      </c>
      <c r="I405">
        <v>0</v>
      </c>
      <c r="J405" t="str">
        <f t="shared" si="18"/>
        <v>no usage/demand</v>
      </c>
      <c r="K405">
        <f t="shared" si="19"/>
        <v>216</v>
      </c>
      <c r="L405" s="1">
        <f t="shared" si="20"/>
        <v>636.70320000000004</v>
      </c>
    </row>
    <row r="406" spans="1:12" x14ac:dyDescent="0.35">
      <c r="A406" t="s">
        <v>523</v>
      </c>
      <c r="B406" t="s">
        <v>22</v>
      </c>
      <c r="C406" t="s">
        <v>23</v>
      </c>
      <c r="D406" t="s">
        <v>24</v>
      </c>
      <c r="E406">
        <v>1</v>
      </c>
      <c r="F406">
        <v>2133.0540000000001</v>
      </c>
      <c r="G406">
        <v>2052</v>
      </c>
      <c r="H406">
        <v>67</v>
      </c>
      <c r="I406">
        <v>72</v>
      </c>
      <c r="J406">
        <f t="shared" si="18"/>
        <v>28.5</v>
      </c>
      <c r="K406">
        <f t="shared" si="19"/>
        <v>612</v>
      </c>
      <c r="L406" s="1">
        <f t="shared" si="20"/>
        <v>636.17400000000009</v>
      </c>
    </row>
    <row r="407" spans="1:12" x14ac:dyDescent="0.35">
      <c r="A407" t="s">
        <v>524</v>
      </c>
      <c r="B407" t="s">
        <v>16</v>
      </c>
      <c r="C407" t="s">
        <v>510</v>
      </c>
      <c r="D407" t="s">
        <v>510</v>
      </c>
      <c r="E407">
        <v>1</v>
      </c>
      <c r="F407">
        <v>6084.0020000000004</v>
      </c>
      <c r="G407">
        <v>670</v>
      </c>
      <c r="H407">
        <v>30</v>
      </c>
      <c r="I407">
        <v>7.7</v>
      </c>
      <c r="J407">
        <f t="shared" si="18"/>
        <v>22.333333333333332</v>
      </c>
      <c r="K407">
        <f t="shared" si="19"/>
        <v>69.999999999999972</v>
      </c>
      <c r="L407" s="1">
        <f t="shared" si="20"/>
        <v>635.64199999999983</v>
      </c>
    </row>
    <row r="408" spans="1:12" x14ac:dyDescent="0.35">
      <c r="A408" t="s">
        <v>525</v>
      </c>
      <c r="B408" t="s">
        <v>22</v>
      </c>
      <c r="C408" t="s">
        <v>53</v>
      </c>
      <c r="D408" t="s">
        <v>56</v>
      </c>
      <c r="E408">
        <v>1</v>
      </c>
      <c r="F408">
        <v>633.97439999999995</v>
      </c>
      <c r="G408">
        <v>288</v>
      </c>
      <c r="H408">
        <v>0</v>
      </c>
      <c r="I408">
        <v>0</v>
      </c>
      <c r="J408" t="str">
        <f t="shared" si="18"/>
        <v>no usage/demand</v>
      </c>
      <c r="K408">
        <f t="shared" si="19"/>
        <v>288</v>
      </c>
      <c r="L408" s="1">
        <f t="shared" si="20"/>
        <v>633.97439999999995</v>
      </c>
    </row>
    <row r="409" spans="1:12" x14ac:dyDescent="0.35">
      <c r="A409" t="s">
        <v>526</v>
      </c>
      <c r="B409" t="s">
        <v>22</v>
      </c>
      <c r="C409" t="s">
        <v>23</v>
      </c>
      <c r="D409" t="s">
        <v>24</v>
      </c>
      <c r="E409">
        <v>2</v>
      </c>
      <c r="F409">
        <v>1056.6179999999999</v>
      </c>
      <c r="G409">
        <v>540</v>
      </c>
      <c r="H409">
        <v>11</v>
      </c>
      <c r="I409">
        <v>0</v>
      </c>
      <c r="J409">
        <f t="shared" si="18"/>
        <v>49.090909090909093</v>
      </c>
      <c r="K409">
        <f t="shared" si="19"/>
        <v>320</v>
      </c>
      <c r="L409" s="1">
        <f t="shared" si="20"/>
        <v>626.14400000000001</v>
      </c>
    </row>
    <row r="410" spans="1:12" x14ac:dyDescent="0.35">
      <c r="A410" t="s">
        <v>527</v>
      </c>
      <c r="B410" t="s">
        <v>37</v>
      </c>
      <c r="C410" t="s">
        <v>528</v>
      </c>
      <c r="D410" t="s">
        <v>528</v>
      </c>
      <c r="E410">
        <v>1</v>
      </c>
      <c r="F410">
        <v>11000.511200000001</v>
      </c>
      <c r="G410">
        <v>248</v>
      </c>
      <c r="H410">
        <v>1</v>
      </c>
      <c r="I410">
        <v>11.7</v>
      </c>
      <c r="J410">
        <f t="shared" si="18"/>
        <v>21.196581196581199</v>
      </c>
      <c r="K410">
        <f t="shared" si="19"/>
        <v>14.000000000000032</v>
      </c>
      <c r="L410" s="1">
        <f t="shared" si="20"/>
        <v>620.99660000000142</v>
      </c>
    </row>
    <row r="411" spans="1:12" x14ac:dyDescent="0.35">
      <c r="A411" t="s">
        <v>529</v>
      </c>
      <c r="B411" t="s">
        <v>22</v>
      </c>
      <c r="C411" t="s">
        <v>176</v>
      </c>
      <c r="D411" t="s">
        <v>177</v>
      </c>
      <c r="E411">
        <v>1</v>
      </c>
      <c r="F411">
        <v>3767.6772000000001</v>
      </c>
      <c r="G411">
        <v>2196</v>
      </c>
      <c r="H411">
        <v>92</v>
      </c>
      <c r="I411">
        <v>52.6</v>
      </c>
      <c r="J411">
        <f t="shared" si="18"/>
        <v>23.869565217391305</v>
      </c>
      <c r="K411">
        <f t="shared" si="19"/>
        <v>356</v>
      </c>
      <c r="L411" s="1">
        <f t="shared" si="20"/>
        <v>610.78920000000005</v>
      </c>
    </row>
    <row r="412" spans="1:12" x14ac:dyDescent="0.35">
      <c r="A412" t="s">
        <v>530</v>
      </c>
      <c r="B412" t="s">
        <v>88</v>
      </c>
      <c r="C412" t="s">
        <v>89</v>
      </c>
      <c r="D412" t="s">
        <v>89</v>
      </c>
      <c r="E412">
        <v>1</v>
      </c>
      <c r="F412">
        <v>906.14400000000001</v>
      </c>
      <c r="G412">
        <v>120</v>
      </c>
      <c r="H412">
        <v>2</v>
      </c>
      <c r="I412">
        <v>1.8</v>
      </c>
      <c r="J412">
        <f t="shared" si="18"/>
        <v>60</v>
      </c>
      <c r="K412">
        <f t="shared" si="19"/>
        <v>80</v>
      </c>
      <c r="L412" s="1">
        <f t="shared" si="20"/>
        <v>604.096</v>
      </c>
    </row>
    <row r="413" spans="1:12" x14ac:dyDescent="0.35">
      <c r="A413" t="s">
        <v>531</v>
      </c>
      <c r="B413" t="s">
        <v>161</v>
      </c>
      <c r="C413" t="s">
        <v>162</v>
      </c>
      <c r="D413" t="s">
        <v>163</v>
      </c>
      <c r="E413">
        <v>1</v>
      </c>
      <c r="F413">
        <v>1666.7328</v>
      </c>
      <c r="G413">
        <v>282</v>
      </c>
      <c r="H413">
        <v>9</v>
      </c>
      <c r="I413">
        <v>0</v>
      </c>
      <c r="J413">
        <f t="shared" si="18"/>
        <v>31.333333333333332</v>
      </c>
      <c r="K413">
        <f t="shared" si="19"/>
        <v>101.99999999999999</v>
      </c>
      <c r="L413" s="1">
        <f t="shared" si="20"/>
        <v>602.86079999999993</v>
      </c>
    </row>
    <row r="414" spans="1:12" x14ac:dyDescent="0.35">
      <c r="A414" t="s">
        <v>532</v>
      </c>
      <c r="B414" t="s">
        <v>22</v>
      </c>
      <c r="C414" t="s">
        <v>274</v>
      </c>
      <c r="D414" t="s">
        <v>275</v>
      </c>
      <c r="E414">
        <v>1</v>
      </c>
      <c r="F414">
        <v>2259.7343999999998</v>
      </c>
      <c r="G414">
        <v>2772</v>
      </c>
      <c r="H414">
        <v>102</v>
      </c>
      <c r="I414">
        <v>8.3000000000000007</v>
      </c>
      <c r="J414">
        <f t="shared" si="18"/>
        <v>27.176470588235293</v>
      </c>
      <c r="K414">
        <f t="shared" si="19"/>
        <v>731.99999999999989</v>
      </c>
      <c r="L414" s="1">
        <f t="shared" si="20"/>
        <v>596.7263999999999</v>
      </c>
    </row>
    <row r="415" spans="1:12" x14ac:dyDescent="0.35">
      <c r="A415" t="s">
        <v>533</v>
      </c>
      <c r="B415" t="s">
        <v>40</v>
      </c>
      <c r="C415" t="s">
        <v>41</v>
      </c>
      <c r="D415" t="s">
        <v>41</v>
      </c>
      <c r="E415">
        <v>1</v>
      </c>
      <c r="F415">
        <v>591.88779999999997</v>
      </c>
      <c r="G415">
        <v>2</v>
      </c>
      <c r="H415">
        <v>0</v>
      </c>
      <c r="I415">
        <v>0</v>
      </c>
      <c r="J415" t="str">
        <f t="shared" si="18"/>
        <v>no usage/demand</v>
      </c>
      <c r="K415">
        <f t="shared" si="19"/>
        <v>2</v>
      </c>
      <c r="L415" s="1">
        <f t="shared" si="20"/>
        <v>591.88779999999997</v>
      </c>
    </row>
    <row r="416" spans="1:12" x14ac:dyDescent="0.35">
      <c r="A416" t="s">
        <v>534</v>
      </c>
      <c r="B416" t="s">
        <v>22</v>
      </c>
      <c r="C416" t="s">
        <v>53</v>
      </c>
      <c r="D416" t="s">
        <v>180</v>
      </c>
      <c r="E416">
        <v>2</v>
      </c>
      <c r="F416">
        <v>1471.6441</v>
      </c>
      <c r="G416">
        <v>936</v>
      </c>
      <c r="H416">
        <v>28</v>
      </c>
      <c r="I416">
        <v>11.1</v>
      </c>
      <c r="J416">
        <f t="shared" si="18"/>
        <v>33.428571428571431</v>
      </c>
      <c r="K416">
        <f t="shared" si="19"/>
        <v>376.00000000000006</v>
      </c>
      <c r="L416" s="1">
        <f t="shared" si="20"/>
        <v>591.17327094017105</v>
      </c>
    </row>
    <row r="417" spans="1:12" x14ac:dyDescent="0.35">
      <c r="A417" t="s">
        <v>535</v>
      </c>
      <c r="B417" t="s">
        <v>22</v>
      </c>
      <c r="C417" t="s">
        <v>23</v>
      </c>
      <c r="D417" t="s">
        <v>244</v>
      </c>
      <c r="E417">
        <v>1</v>
      </c>
      <c r="F417">
        <v>2082.0239999999999</v>
      </c>
      <c r="G417">
        <v>972</v>
      </c>
      <c r="H417">
        <v>35</v>
      </c>
      <c r="I417">
        <v>28.6</v>
      </c>
      <c r="J417">
        <f t="shared" si="18"/>
        <v>27.771428571428572</v>
      </c>
      <c r="K417">
        <f t="shared" si="19"/>
        <v>272</v>
      </c>
      <c r="L417" s="1">
        <f t="shared" si="20"/>
        <v>582.62400000000002</v>
      </c>
    </row>
    <row r="418" spans="1:12" x14ac:dyDescent="0.35">
      <c r="A418" t="s">
        <v>536</v>
      </c>
      <c r="B418" t="s">
        <v>22</v>
      </c>
      <c r="C418" t="s">
        <v>53</v>
      </c>
      <c r="D418" t="s">
        <v>54</v>
      </c>
      <c r="E418">
        <v>1</v>
      </c>
      <c r="F418">
        <v>2075.5223999999998</v>
      </c>
      <c r="G418">
        <v>1332</v>
      </c>
      <c r="H418">
        <v>48</v>
      </c>
      <c r="I418">
        <v>41.5</v>
      </c>
      <c r="J418">
        <f t="shared" si="18"/>
        <v>27.75</v>
      </c>
      <c r="K418">
        <f t="shared" si="19"/>
        <v>372</v>
      </c>
      <c r="L418" s="1">
        <f t="shared" si="20"/>
        <v>579.65039999999988</v>
      </c>
    </row>
    <row r="419" spans="1:12" x14ac:dyDescent="0.35">
      <c r="A419" t="s">
        <v>537</v>
      </c>
      <c r="B419" t="s">
        <v>22</v>
      </c>
      <c r="C419" t="s">
        <v>23</v>
      </c>
      <c r="D419" t="s">
        <v>244</v>
      </c>
      <c r="E419">
        <v>1</v>
      </c>
      <c r="F419">
        <v>578.54160000000002</v>
      </c>
      <c r="G419">
        <v>252</v>
      </c>
      <c r="H419">
        <v>0</v>
      </c>
      <c r="I419">
        <v>0</v>
      </c>
      <c r="J419" t="str">
        <f t="shared" si="18"/>
        <v>no usage/demand</v>
      </c>
      <c r="K419">
        <f t="shared" si="19"/>
        <v>252</v>
      </c>
      <c r="L419" s="1">
        <f t="shared" si="20"/>
        <v>578.54160000000002</v>
      </c>
    </row>
    <row r="420" spans="1:12" x14ac:dyDescent="0.35">
      <c r="A420" t="s">
        <v>538</v>
      </c>
      <c r="B420" t="s">
        <v>22</v>
      </c>
      <c r="C420" t="s">
        <v>34</v>
      </c>
      <c r="D420" t="s">
        <v>138</v>
      </c>
      <c r="E420">
        <v>2</v>
      </c>
      <c r="F420">
        <v>578.00639999999999</v>
      </c>
      <c r="G420">
        <v>264</v>
      </c>
      <c r="H420">
        <v>0</v>
      </c>
      <c r="I420">
        <v>0</v>
      </c>
      <c r="J420" t="str">
        <f t="shared" si="18"/>
        <v>no usage/demand</v>
      </c>
      <c r="K420">
        <f t="shared" si="19"/>
        <v>264</v>
      </c>
      <c r="L420" s="1">
        <f t="shared" si="20"/>
        <v>578.00639999999999</v>
      </c>
    </row>
    <row r="421" spans="1:12" x14ac:dyDescent="0.35">
      <c r="A421" t="s">
        <v>539</v>
      </c>
      <c r="B421" t="s">
        <v>40</v>
      </c>
      <c r="C421" t="s">
        <v>124</v>
      </c>
      <c r="D421" t="s">
        <v>124</v>
      </c>
      <c r="E421">
        <v>1</v>
      </c>
      <c r="F421">
        <v>6493.8275000000003</v>
      </c>
      <c r="G421">
        <v>127</v>
      </c>
      <c r="H421">
        <v>4</v>
      </c>
      <c r="I421">
        <v>5.8</v>
      </c>
      <c r="J421">
        <f t="shared" si="18"/>
        <v>21.896551724137932</v>
      </c>
      <c r="K421">
        <f t="shared" si="19"/>
        <v>11.000000000000007</v>
      </c>
      <c r="L421" s="1">
        <f t="shared" si="20"/>
        <v>562.45750000000032</v>
      </c>
    </row>
    <row r="422" spans="1:12" x14ac:dyDescent="0.35">
      <c r="A422" t="s">
        <v>540</v>
      </c>
      <c r="B422" t="s">
        <v>22</v>
      </c>
      <c r="C422" t="s">
        <v>53</v>
      </c>
      <c r="D422" t="s">
        <v>180</v>
      </c>
      <c r="E422">
        <v>2</v>
      </c>
      <c r="F422">
        <v>716.13</v>
      </c>
      <c r="G422">
        <v>540</v>
      </c>
      <c r="H422">
        <v>6</v>
      </c>
      <c r="I422">
        <v>2.8</v>
      </c>
      <c r="J422">
        <f t="shared" si="18"/>
        <v>90</v>
      </c>
      <c r="K422">
        <f t="shared" si="19"/>
        <v>420</v>
      </c>
      <c r="L422" s="1">
        <f t="shared" si="20"/>
        <v>556.99</v>
      </c>
    </row>
    <row r="423" spans="1:12" x14ac:dyDescent="0.35">
      <c r="A423" t="s">
        <v>541</v>
      </c>
      <c r="B423" t="s">
        <v>22</v>
      </c>
      <c r="C423" t="s">
        <v>34</v>
      </c>
      <c r="D423" t="s">
        <v>138</v>
      </c>
      <c r="E423">
        <v>1</v>
      </c>
      <c r="F423">
        <v>2081.7503999999999</v>
      </c>
      <c r="G423">
        <v>3096</v>
      </c>
      <c r="H423">
        <v>100</v>
      </c>
      <c r="I423">
        <v>113.5</v>
      </c>
      <c r="J423">
        <f t="shared" si="18"/>
        <v>27.277533039647576</v>
      </c>
      <c r="K423">
        <f t="shared" si="19"/>
        <v>825.99999999999989</v>
      </c>
      <c r="L423" s="1">
        <f t="shared" si="20"/>
        <v>555.40239999999994</v>
      </c>
    </row>
    <row r="424" spans="1:12" x14ac:dyDescent="0.35">
      <c r="A424" t="s">
        <v>542</v>
      </c>
      <c r="B424" t="s">
        <v>22</v>
      </c>
      <c r="C424" t="s">
        <v>53</v>
      </c>
      <c r="D424" t="s">
        <v>180</v>
      </c>
      <c r="E424">
        <v>2</v>
      </c>
      <c r="F424">
        <v>1032.3</v>
      </c>
      <c r="G424">
        <v>1260</v>
      </c>
      <c r="H424">
        <v>30</v>
      </c>
      <c r="I424">
        <v>27.7</v>
      </c>
      <c r="J424">
        <f t="shared" si="18"/>
        <v>42</v>
      </c>
      <c r="K424">
        <f t="shared" si="19"/>
        <v>660</v>
      </c>
      <c r="L424" s="1">
        <f t="shared" si="20"/>
        <v>540.7285714285714</v>
      </c>
    </row>
    <row r="425" spans="1:12" x14ac:dyDescent="0.35">
      <c r="A425" t="s">
        <v>543</v>
      </c>
      <c r="B425" t="s">
        <v>40</v>
      </c>
      <c r="C425" t="s">
        <v>124</v>
      </c>
      <c r="D425" t="s">
        <v>124</v>
      </c>
      <c r="E425">
        <v>1</v>
      </c>
      <c r="F425">
        <v>540.11720000000003</v>
      </c>
      <c r="G425">
        <v>34</v>
      </c>
      <c r="H425">
        <v>0</v>
      </c>
      <c r="I425">
        <v>0</v>
      </c>
      <c r="J425" t="str">
        <f t="shared" si="18"/>
        <v>no usage/demand</v>
      </c>
      <c r="K425">
        <f t="shared" si="19"/>
        <v>34</v>
      </c>
      <c r="L425" s="1">
        <f t="shared" si="20"/>
        <v>540.11720000000003</v>
      </c>
    </row>
    <row r="426" spans="1:12" x14ac:dyDescent="0.35">
      <c r="A426" t="s">
        <v>544</v>
      </c>
      <c r="B426" t="s">
        <v>22</v>
      </c>
      <c r="C426" t="s">
        <v>34</v>
      </c>
      <c r="D426" t="s">
        <v>61</v>
      </c>
      <c r="E426">
        <v>1</v>
      </c>
      <c r="F426">
        <v>586.6848</v>
      </c>
      <c r="G426">
        <v>468</v>
      </c>
      <c r="H426">
        <v>2</v>
      </c>
      <c r="I426">
        <v>0</v>
      </c>
      <c r="J426">
        <f t="shared" si="18"/>
        <v>234</v>
      </c>
      <c r="K426">
        <f t="shared" si="19"/>
        <v>428</v>
      </c>
      <c r="L426" s="1">
        <f t="shared" si="20"/>
        <v>536.54079999999999</v>
      </c>
    </row>
    <row r="427" spans="1:12" x14ac:dyDescent="0.35">
      <c r="A427" t="s">
        <v>545</v>
      </c>
      <c r="B427" t="s">
        <v>22</v>
      </c>
      <c r="C427" t="s">
        <v>78</v>
      </c>
      <c r="D427" t="s">
        <v>379</v>
      </c>
      <c r="E427">
        <v>1</v>
      </c>
      <c r="F427">
        <v>535.63679999999999</v>
      </c>
      <c r="G427">
        <v>432</v>
      </c>
      <c r="H427">
        <v>0</v>
      </c>
      <c r="I427">
        <v>0</v>
      </c>
      <c r="J427" t="str">
        <f t="shared" si="18"/>
        <v>no usage/demand</v>
      </c>
      <c r="K427">
        <f t="shared" si="19"/>
        <v>432</v>
      </c>
      <c r="L427" s="1">
        <f t="shared" si="20"/>
        <v>535.63679999999999</v>
      </c>
    </row>
    <row r="428" spans="1:12" x14ac:dyDescent="0.35">
      <c r="A428" t="s">
        <v>546</v>
      </c>
      <c r="B428" t="s">
        <v>22</v>
      </c>
      <c r="C428" t="s">
        <v>53</v>
      </c>
      <c r="D428" t="s">
        <v>56</v>
      </c>
      <c r="E428">
        <v>1</v>
      </c>
      <c r="F428">
        <v>533.97</v>
      </c>
      <c r="G428">
        <v>612</v>
      </c>
      <c r="H428">
        <v>0</v>
      </c>
      <c r="I428">
        <v>0</v>
      </c>
      <c r="J428" t="str">
        <f t="shared" si="18"/>
        <v>no usage/demand</v>
      </c>
      <c r="K428">
        <f t="shared" si="19"/>
        <v>612</v>
      </c>
      <c r="L428" s="1">
        <f t="shared" si="20"/>
        <v>533.97</v>
      </c>
    </row>
    <row r="429" spans="1:12" x14ac:dyDescent="0.35">
      <c r="A429" t="s">
        <v>547</v>
      </c>
      <c r="B429" t="s">
        <v>22</v>
      </c>
      <c r="C429" t="s">
        <v>23</v>
      </c>
      <c r="D429" t="s">
        <v>244</v>
      </c>
      <c r="E429">
        <v>1</v>
      </c>
      <c r="F429">
        <v>528.97199999999998</v>
      </c>
      <c r="G429">
        <v>204</v>
      </c>
      <c r="H429">
        <v>0</v>
      </c>
      <c r="I429">
        <v>0</v>
      </c>
      <c r="J429" t="str">
        <f t="shared" si="18"/>
        <v>no usage/demand</v>
      </c>
      <c r="K429">
        <f t="shared" si="19"/>
        <v>204</v>
      </c>
      <c r="L429" s="1">
        <f t="shared" si="20"/>
        <v>528.97199999999998</v>
      </c>
    </row>
    <row r="430" spans="1:12" x14ac:dyDescent="0.35">
      <c r="A430" t="s">
        <v>548</v>
      </c>
      <c r="B430" t="s">
        <v>22</v>
      </c>
      <c r="C430" t="s">
        <v>23</v>
      </c>
      <c r="D430" t="s">
        <v>24</v>
      </c>
      <c r="E430">
        <v>2</v>
      </c>
      <c r="F430">
        <v>3079.35</v>
      </c>
      <c r="G430">
        <v>2052</v>
      </c>
      <c r="H430">
        <v>85</v>
      </c>
      <c r="I430">
        <v>72</v>
      </c>
      <c r="J430">
        <f t="shared" si="18"/>
        <v>24.141176470588235</v>
      </c>
      <c r="K430">
        <f t="shared" si="19"/>
        <v>351.99999999999994</v>
      </c>
      <c r="L430" s="1">
        <f t="shared" si="20"/>
        <v>528.23157894736835</v>
      </c>
    </row>
    <row r="431" spans="1:12" x14ac:dyDescent="0.35">
      <c r="A431" t="s">
        <v>549</v>
      </c>
      <c r="B431" t="s">
        <v>37</v>
      </c>
      <c r="C431" t="s">
        <v>295</v>
      </c>
      <c r="D431" t="s">
        <v>295</v>
      </c>
      <c r="E431">
        <v>1</v>
      </c>
      <c r="F431">
        <v>521.49720000000002</v>
      </c>
      <c r="G431">
        <v>49</v>
      </c>
      <c r="H431">
        <v>0</v>
      </c>
      <c r="I431">
        <v>0</v>
      </c>
      <c r="J431" t="str">
        <f t="shared" si="18"/>
        <v>no usage/demand</v>
      </c>
      <c r="K431">
        <f t="shared" si="19"/>
        <v>49</v>
      </c>
      <c r="L431" s="1">
        <f t="shared" si="20"/>
        <v>521.49720000000002</v>
      </c>
    </row>
    <row r="432" spans="1:12" x14ac:dyDescent="0.35">
      <c r="A432" t="s">
        <v>550</v>
      </c>
      <c r="B432" t="s">
        <v>22</v>
      </c>
      <c r="C432" t="s">
        <v>34</v>
      </c>
      <c r="D432" t="s">
        <v>61</v>
      </c>
      <c r="E432">
        <v>2</v>
      </c>
      <c r="F432">
        <v>998.46719999999993</v>
      </c>
      <c r="G432">
        <v>1296</v>
      </c>
      <c r="H432">
        <v>31</v>
      </c>
      <c r="I432">
        <v>5.5</v>
      </c>
      <c r="J432">
        <f t="shared" si="18"/>
        <v>41.806451612903224</v>
      </c>
      <c r="K432">
        <f t="shared" si="19"/>
        <v>676</v>
      </c>
      <c r="L432" s="1">
        <f t="shared" si="20"/>
        <v>520.80542222222221</v>
      </c>
    </row>
    <row r="433" spans="1:12" x14ac:dyDescent="0.35">
      <c r="A433" t="s">
        <v>551</v>
      </c>
      <c r="B433" t="s">
        <v>88</v>
      </c>
      <c r="C433" t="s">
        <v>168</v>
      </c>
      <c r="D433" t="s">
        <v>168</v>
      </c>
      <c r="E433">
        <v>1</v>
      </c>
      <c r="F433">
        <v>2225.16</v>
      </c>
      <c r="G433">
        <v>240</v>
      </c>
      <c r="H433">
        <v>5</v>
      </c>
      <c r="I433">
        <v>9.1999999999999993</v>
      </c>
      <c r="J433">
        <f t="shared" si="18"/>
        <v>26.086956521739133</v>
      </c>
      <c r="K433">
        <f t="shared" si="19"/>
        <v>56.000000000000014</v>
      </c>
      <c r="L433" s="1">
        <f t="shared" si="20"/>
        <v>519.20400000000006</v>
      </c>
    </row>
    <row r="434" spans="1:12" x14ac:dyDescent="0.35">
      <c r="A434" t="s">
        <v>552</v>
      </c>
      <c r="B434" t="s">
        <v>88</v>
      </c>
      <c r="C434" t="s">
        <v>89</v>
      </c>
      <c r="D434" t="s">
        <v>89</v>
      </c>
      <c r="E434">
        <v>1</v>
      </c>
      <c r="F434">
        <v>828.96</v>
      </c>
      <c r="G434">
        <v>96</v>
      </c>
      <c r="H434">
        <v>1</v>
      </c>
      <c r="I434">
        <v>1.8</v>
      </c>
      <c r="J434">
        <f t="shared" si="18"/>
        <v>53.333333333333329</v>
      </c>
      <c r="K434">
        <f t="shared" si="19"/>
        <v>59.999999999999993</v>
      </c>
      <c r="L434" s="1">
        <f t="shared" si="20"/>
        <v>518.09999999999991</v>
      </c>
    </row>
    <row r="435" spans="1:12" x14ac:dyDescent="0.35">
      <c r="A435" t="s">
        <v>553</v>
      </c>
      <c r="B435" t="s">
        <v>22</v>
      </c>
      <c r="C435" t="s">
        <v>78</v>
      </c>
      <c r="D435" t="s">
        <v>199</v>
      </c>
      <c r="E435">
        <v>1</v>
      </c>
      <c r="F435">
        <v>729.25919999999996</v>
      </c>
      <c r="G435">
        <v>204</v>
      </c>
      <c r="H435">
        <v>3</v>
      </c>
      <c r="I435">
        <v>1.8</v>
      </c>
      <c r="J435">
        <f t="shared" si="18"/>
        <v>68</v>
      </c>
      <c r="K435">
        <f t="shared" si="19"/>
        <v>144</v>
      </c>
      <c r="L435" s="1">
        <f t="shared" si="20"/>
        <v>514.77119999999991</v>
      </c>
    </row>
    <row r="436" spans="1:12" x14ac:dyDescent="0.35">
      <c r="A436" t="s">
        <v>554</v>
      </c>
      <c r="B436" t="s">
        <v>22</v>
      </c>
      <c r="C436" t="s">
        <v>53</v>
      </c>
      <c r="D436" t="s">
        <v>180</v>
      </c>
      <c r="E436">
        <v>1</v>
      </c>
      <c r="F436">
        <v>661.53599999999994</v>
      </c>
      <c r="G436">
        <v>360</v>
      </c>
      <c r="H436">
        <v>4</v>
      </c>
      <c r="I436">
        <v>2.8</v>
      </c>
      <c r="J436">
        <f t="shared" si="18"/>
        <v>90</v>
      </c>
      <c r="K436">
        <f t="shared" si="19"/>
        <v>280</v>
      </c>
      <c r="L436" s="1">
        <f t="shared" si="20"/>
        <v>514.52800000000002</v>
      </c>
    </row>
    <row r="437" spans="1:12" x14ac:dyDescent="0.35">
      <c r="A437" t="s">
        <v>555</v>
      </c>
      <c r="B437" t="s">
        <v>37</v>
      </c>
      <c r="C437" t="s">
        <v>230</v>
      </c>
      <c r="D437" t="s">
        <v>230</v>
      </c>
      <c r="E437">
        <v>1</v>
      </c>
      <c r="F437">
        <v>6448.3854000000001</v>
      </c>
      <c r="G437">
        <v>582</v>
      </c>
      <c r="H437">
        <v>9</v>
      </c>
      <c r="I437">
        <v>26.8</v>
      </c>
      <c r="J437">
        <f t="shared" si="18"/>
        <v>21.71641791044776</v>
      </c>
      <c r="K437">
        <f t="shared" si="19"/>
        <v>45.999999999999964</v>
      </c>
      <c r="L437" s="1">
        <f t="shared" si="20"/>
        <v>509.66619999999966</v>
      </c>
    </row>
    <row r="438" spans="1:12" x14ac:dyDescent="0.35">
      <c r="A438" t="s">
        <v>556</v>
      </c>
      <c r="B438" t="s">
        <v>22</v>
      </c>
      <c r="C438" t="s">
        <v>23</v>
      </c>
      <c r="D438" t="s">
        <v>24</v>
      </c>
      <c r="E438">
        <v>1</v>
      </c>
      <c r="F438">
        <v>508.66199999999998</v>
      </c>
      <c r="G438">
        <v>396</v>
      </c>
      <c r="H438">
        <v>0</v>
      </c>
      <c r="I438">
        <v>0</v>
      </c>
      <c r="J438" t="str">
        <f t="shared" si="18"/>
        <v>no usage/demand</v>
      </c>
      <c r="K438">
        <f t="shared" si="19"/>
        <v>396</v>
      </c>
      <c r="L438" s="1">
        <f t="shared" si="20"/>
        <v>508.66199999999998</v>
      </c>
    </row>
    <row r="439" spans="1:12" x14ac:dyDescent="0.35">
      <c r="A439" t="s">
        <v>557</v>
      </c>
      <c r="B439" t="s">
        <v>22</v>
      </c>
      <c r="C439" t="s">
        <v>274</v>
      </c>
      <c r="D439" t="s">
        <v>275</v>
      </c>
      <c r="E439">
        <v>1</v>
      </c>
      <c r="F439">
        <v>848.48400000000004</v>
      </c>
      <c r="G439">
        <v>588</v>
      </c>
      <c r="H439">
        <v>6</v>
      </c>
      <c r="I439">
        <v>12</v>
      </c>
      <c r="J439">
        <f t="shared" si="18"/>
        <v>49</v>
      </c>
      <c r="K439">
        <f t="shared" si="19"/>
        <v>348</v>
      </c>
      <c r="L439" s="1">
        <f t="shared" si="20"/>
        <v>502.16400000000004</v>
      </c>
    </row>
    <row r="440" spans="1:12" x14ac:dyDescent="0.35">
      <c r="A440" t="s">
        <v>558</v>
      </c>
      <c r="B440" t="s">
        <v>22</v>
      </c>
      <c r="C440" t="s">
        <v>23</v>
      </c>
      <c r="D440" t="s">
        <v>24</v>
      </c>
      <c r="E440">
        <v>1</v>
      </c>
      <c r="F440">
        <v>1796.3352</v>
      </c>
      <c r="G440">
        <v>888</v>
      </c>
      <c r="H440">
        <v>32</v>
      </c>
      <c r="I440">
        <v>24</v>
      </c>
      <c r="J440">
        <f t="shared" si="18"/>
        <v>27.75</v>
      </c>
      <c r="K440">
        <f t="shared" si="19"/>
        <v>248</v>
      </c>
      <c r="L440" s="1">
        <f t="shared" si="20"/>
        <v>501.67919999999998</v>
      </c>
    </row>
    <row r="441" spans="1:12" x14ac:dyDescent="0.35">
      <c r="A441" t="s">
        <v>559</v>
      </c>
      <c r="B441" t="s">
        <v>22</v>
      </c>
      <c r="C441" t="s">
        <v>53</v>
      </c>
      <c r="D441" t="s">
        <v>180</v>
      </c>
      <c r="E441">
        <v>2</v>
      </c>
      <c r="F441">
        <v>2285.5931999999998</v>
      </c>
      <c r="G441">
        <v>2340</v>
      </c>
      <c r="H441">
        <v>87</v>
      </c>
      <c r="I441">
        <v>91.4</v>
      </c>
      <c r="J441">
        <f t="shared" si="18"/>
        <v>25.601750547045949</v>
      </c>
      <c r="K441">
        <f t="shared" si="19"/>
        <v>511.99999999999977</v>
      </c>
      <c r="L441" s="1">
        <f t="shared" si="20"/>
        <v>500.09560615384589</v>
      </c>
    </row>
    <row r="442" spans="1:12" x14ac:dyDescent="0.35">
      <c r="A442" t="s">
        <v>560</v>
      </c>
      <c r="B442" t="s">
        <v>43</v>
      </c>
      <c r="C442" t="s">
        <v>561</v>
      </c>
      <c r="D442" t="s">
        <v>561</v>
      </c>
      <c r="E442">
        <v>1</v>
      </c>
      <c r="F442">
        <v>490.875</v>
      </c>
      <c r="G442">
        <v>17</v>
      </c>
      <c r="H442">
        <v>0</v>
      </c>
      <c r="I442">
        <v>0</v>
      </c>
      <c r="J442" t="str">
        <f t="shared" si="18"/>
        <v>no usage/demand</v>
      </c>
      <c r="K442">
        <f t="shared" si="19"/>
        <v>17</v>
      </c>
      <c r="L442" s="1">
        <f t="shared" si="20"/>
        <v>490.875</v>
      </c>
    </row>
    <row r="443" spans="1:12" x14ac:dyDescent="0.35">
      <c r="A443" t="s">
        <v>562</v>
      </c>
      <c r="B443" t="s">
        <v>150</v>
      </c>
      <c r="C443" t="s">
        <v>563</v>
      </c>
      <c r="D443" t="s">
        <v>564</v>
      </c>
      <c r="E443">
        <v>1</v>
      </c>
      <c r="F443">
        <v>2547.2800000000002</v>
      </c>
      <c r="G443">
        <v>170</v>
      </c>
      <c r="H443">
        <v>2</v>
      </c>
      <c r="I443">
        <v>6.9</v>
      </c>
      <c r="J443">
        <f t="shared" si="18"/>
        <v>24.637681159420289</v>
      </c>
      <c r="K443">
        <f t="shared" si="19"/>
        <v>31.999999999999996</v>
      </c>
      <c r="L443" s="1">
        <f t="shared" si="20"/>
        <v>479.488</v>
      </c>
    </row>
    <row r="444" spans="1:12" x14ac:dyDescent="0.35">
      <c r="A444" t="s">
        <v>565</v>
      </c>
      <c r="B444" t="s">
        <v>110</v>
      </c>
      <c r="C444" t="s">
        <v>170</v>
      </c>
      <c r="D444" t="s">
        <v>171</v>
      </c>
      <c r="E444">
        <v>1</v>
      </c>
      <c r="F444">
        <v>471.75</v>
      </c>
      <c r="G444">
        <v>25</v>
      </c>
      <c r="H444">
        <v>0</v>
      </c>
      <c r="I444">
        <v>0</v>
      </c>
      <c r="J444" t="str">
        <f t="shared" si="18"/>
        <v>no usage/demand</v>
      </c>
      <c r="K444">
        <f t="shared" si="19"/>
        <v>25</v>
      </c>
      <c r="L444" s="1">
        <f t="shared" si="20"/>
        <v>471.75</v>
      </c>
    </row>
    <row r="445" spans="1:12" x14ac:dyDescent="0.35">
      <c r="A445" t="s">
        <v>566</v>
      </c>
      <c r="B445" t="s">
        <v>16</v>
      </c>
      <c r="C445" t="s">
        <v>28</v>
      </c>
      <c r="D445" t="s">
        <v>28</v>
      </c>
      <c r="E445">
        <v>2</v>
      </c>
      <c r="F445">
        <v>1233.2049999999999</v>
      </c>
      <c r="G445">
        <v>600</v>
      </c>
      <c r="H445">
        <v>19</v>
      </c>
      <c r="I445">
        <v>19.2</v>
      </c>
      <c r="J445">
        <f t="shared" si="18"/>
        <v>31.25</v>
      </c>
      <c r="K445">
        <f t="shared" si="19"/>
        <v>216</v>
      </c>
      <c r="L445" s="1">
        <f t="shared" si="20"/>
        <v>443.9538</v>
      </c>
    </row>
    <row r="446" spans="1:12" x14ac:dyDescent="0.35">
      <c r="A446" t="s">
        <v>567</v>
      </c>
      <c r="B446" t="s">
        <v>37</v>
      </c>
      <c r="C446" t="s">
        <v>295</v>
      </c>
      <c r="D446" t="s">
        <v>295</v>
      </c>
      <c r="E446">
        <v>3</v>
      </c>
      <c r="F446">
        <v>3702.0009</v>
      </c>
      <c r="G446">
        <v>357</v>
      </c>
      <c r="H446">
        <v>6</v>
      </c>
      <c r="I446">
        <v>15.8</v>
      </c>
      <c r="J446">
        <f t="shared" si="18"/>
        <v>22.594936708860757</v>
      </c>
      <c r="K446">
        <f t="shared" si="19"/>
        <v>40.999999999999964</v>
      </c>
      <c r="L446" s="1">
        <f t="shared" si="20"/>
        <v>425.15976722689038</v>
      </c>
    </row>
    <row r="447" spans="1:12" x14ac:dyDescent="0.35">
      <c r="A447" t="s">
        <v>568</v>
      </c>
      <c r="B447" t="s">
        <v>88</v>
      </c>
      <c r="C447" t="s">
        <v>168</v>
      </c>
      <c r="D447" t="s">
        <v>168</v>
      </c>
      <c r="E447">
        <v>1</v>
      </c>
      <c r="F447">
        <v>1631.826</v>
      </c>
      <c r="G447">
        <v>108</v>
      </c>
      <c r="H447">
        <v>4</v>
      </c>
      <c r="I447">
        <v>1.8</v>
      </c>
      <c r="J447">
        <f t="shared" si="18"/>
        <v>27</v>
      </c>
      <c r="K447">
        <f t="shared" si="19"/>
        <v>28</v>
      </c>
      <c r="L447" s="1">
        <f t="shared" si="20"/>
        <v>423.06600000000003</v>
      </c>
    </row>
    <row r="448" spans="1:12" x14ac:dyDescent="0.35">
      <c r="A448" t="s">
        <v>569</v>
      </c>
      <c r="B448" t="s">
        <v>43</v>
      </c>
      <c r="C448" t="s">
        <v>561</v>
      </c>
      <c r="D448" t="s">
        <v>561</v>
      </c>
      <c r="E448">
        <v>1</v>
      </c>
      <c r="F448">
        <v>422.76569999999998</v>
      </c>
      <c r="G448">
        <v>3</v>
      </c>
      <c r="H448">
        <v>0</v>
      </c>
      <c r="I448">
        <v>0</v>
      </c>
      <c r="J448" t="str">
        <f t="shared" si="18"/>
        <v>no usage/demand</v>
      </c>
      <c r="K448">
        <f t="shared" si="19"/>
        <v>3</v>
      </c>
      <c r="L448" s="1">
        <f t="shared" si="20"/>
        <v>422.76569999999998</v>
      </c>
    </row>
    <row r="449" spans="1:12" x14ac:dyDescent="0.35">
      <c r="A449" t="s">
        <v>570</v>
      </c>
      <c r="B449" t="s">
        <v>37</v>
      </c>
      <c r="C449" t="s">
        <v>396</v>
      </c>
      <c r="D449" t="s">
        <v>396</v>
      </c>
      <c r="E449">
        <v>1</v>
      </c>
      <c r="F449">
        <v>421.65</v>
      </c>
      <c r="G449">
        <v>90</v>
      </c>
      <c r="H449">
        <v>0</v>
      </c>
      <c r="I449">
        <v>0</v>
      </c>
      <c r="J449" t="str">
        <f t="shared" si="18"/>
        <v>no usage/demand</v>
      </c>
      <c r="K449">
        <f t="shared" si="19"/>
        <v>90</v>
      </c>
      <c r="L449" s="1">
        <f t="shared" si="20"/>
        <v>421.65</v>
      </c>
    </row>
    <row r="450" spans="1:12" x14ac:dyDescent="0.35">
      <c r="A450" t="s">
        <v>571</v>
      </c>
      <c r="B450" t="s">
        <v>37</v>
      </c>
      <c r="C450" t="s">
        <v>38</v>
      </c>
      <c r="D450" t="s">
        <v>38</v>
      </c>
      <c r="E450">
        <v>1</v>
      </c>
      <c r="F450">
        <v>406.32850000000002</v>
      </c>
      <c r="G450">
        <v>43</v>
      </c>
      <c r="H450">
        <v>0</v>
      </c>
      <c r="I450">
        <v>0</v>
      </c>
      <c r="J450" t="str">
        <f t="shared" ref="J450:J513" si="21">IFERROR(G450/MAX(I450,H450),"no usage/demand")</f>
        <v>no usage/demand</v>
      </c>
      <c r="K450">
        <f t="shared" ref="K450:K513" si="22">IFERROR(IF(J450="no usage/demand",G450,IF(J450&gt;20,(J450-20)*MAX(H450,I450),0)),"Check")</f>
        <v>43</v>
      </c>
      <c r="L450" s="1">
        <f t="shared" ref="L450:L513" si="23">IFERROR(F450/G450*K450,0)</f>
        <v>406.32850000000002</v>
      </c>
    </row>
    <row r="451" spans="1:12" x14ac:dyDescent="0.35">
      <c r="A451" t="s">
        <v>572</v>
      </c>
      <c r="B451" t="s">
        <v>43</v>
      </c>
      <c r="C451" t="s">
        <v>281</v>
      </c>
      <c r="D451" t="s">
        <v>281</v>
      </c>
      <c r="E451">
        <v>1</v>
      </c>
      <c r="F451">
        <v>403.9932</v>
      </c>
      <c r="G451">
        <v>57</v>
      </c>
      <c r="H451">
        <v>0</v>
      </c>
      <c r="I451">
        <v>0</v>
      </c>
      <c r="J451" t="str">
        <f t="shared" si="21"/>
        <v>no usage/demand</v>
      </c>
      <c r="K451">
        <f t="shared" si="22"/>
        <v>57</v>
      </c>
      <c r="L451" s="1">
        <f t="shared" si="23"/>
        <v>403.9932</v>
      </c>
    </row>
    <row r="452" spans="1:12" x14ac:dyDescent="0.35">
      <c r="A452" t="s">
        <v>573</v>
      </c>
      <c r="B452" t="s">
        <v>37</v>
      </c>
      <c r="C452" t="s">
        <v>473</v>
      </c>
      <c r="D452" t="s">
        <v>473</v>
      </c>
      <c r="E452">
        <v>1</v>
      </c>
      <c r="F452">
        <v>2793.1136000000001</v>
      </c>
      <c r="G452">
        <v>128</v>
      </c>
      <c r="H452">
        <v>2</v>
      </c>
      <c r="I452">
        <v>5.5</v>
      </c>
      <c r="J452">
        <f t="shared" si="21"/>
        <v>23.272727272727273</v>
      </c>
      <c r="K452">
        <f t="shared" si="22"/>
        <v>18.000000000000004</v>
      </c>
      <c r="L452" s="1">
        <f t="shared" si="23"/>
        <v>392.78160000000008</v>
      </c>
    </row>
    <row r="453" spans="1:12" x14ac:dyDescent="0.35">
      <c r="A453" t="s">
        <v>574</v>
      </c>
      <c r="B453" t="s">
        <v>290</v>
      </c>
      <c r="C453" t="s">
        <v>291</v>
      </c>
      <c r="D453" t="s">
        <v>291</v>
      </c>
      <c r="E453">
        <v>1</v>
      </c>
      <c r="F453">
        <v>389.61419999999998</v>
      </c>
      <c r="G453">
        <v>6</v>
      </c>
      <c r="H453">
        <v>0</v>
      </c>
      <c r="I453">
        <v>0</v>
      </c>
      <c r="J453" t="str">
        <f t="shared" si="21"/>
        <v>no usage/demand</v>
      </c>
      <c r="K453">
        <f t="shared" si="22"/>
        <v>6</v>
      </c>
      <c r="L453" s="1">
        <f t="shared" si="23"/>
        <v>389.61419999999998</v>
      </c>
    </row>
    <row r="454" spans="1:12" x14ac:dyDescent="0.35">
      <c r="A454" t="s">
        <v>575</v>
      </c>
      <c r="B454" t="s">
        <v>150</v>
      </c>
      <c r="C454" t="s">
        <v>576</v>
      </c>
      <c r="D454" t="s">
        <v>577</v>
      </c>
      <c r="E454">
        <v>1</v>
      </c>
      <c r="F454">
        <v>388.9248</v>
      </c>
      <c r="G454">
        <v>12</v>
      </c>
      <c r="H454">
        <v>0</v>
      </c>
      <c r="I454">
        <v>0</v>
      </c>
      <c r="J454" t="str">
        <f t="shared" si="21"/>
        <v>no usage/demand</v>
      </c>
      <c r="K454">
        <f t="shared" si="22"/>
        <v>12</v>
      </c>
      <c r="L454" s="1">
        <f t="shared" si="23"/>
        <v>388.9248</v>
      </c>
    </row>
    <row r="455" spans="1:12" x14ac:dyDescent="0.35">
      <c r="A455" t="s">
        <v>578</v>
      </c>
      <c r="B455" t="s">
        <v>37</v>
      </c>
      <c r="C455" t="s">
        <v>579</v>
      </c>
      <c r="D455" t="s">
        <v>579</v>
      </c>
      <c r="E455">
        <v>1</v>
      </c>
      <c r="F455">
        <v>552.2577</v>
      </c>
      <c r="G455">
        <v>59</v>
      </c>
      <c r="H455">
        <v>1</v>
      </c>
      <c r="I455">
        <v>0.3</v>
      </c>
      <c r="J455">
        <f t="shared" si="21"/>
        <v>59</v>
      </c>
      <c r="K455">
        <f t="shared" si="22"/>
        <v>39</v>
      </c>
      <c r="L455" s="1">
        <f t="shared" si="23"/>
        <v>365.05170000000004</v>
      </c>
    </row>
    <row r="456" spans="1:12" x14ac:dyDescent="0.35">
      <c r="A456" t="s">
        <v>580</v>
      </c>
      <c r="B456" t="s">
        <v>88</v>
      </c>
      <c r="C456" t="s">
        <v>213</v>
      </c>
      <c r="D456" t="s">
        <v>213</v>
      </c>
      <c r="E456">
        <v>1</v>
      </c>
      <c r="F456">
        <v>2646.18</v>
      </c>
      <c r="G456">
        <v>360</v>
      </c>
      <c r="H456">
        <v>7</v>
      </c>
      <c r="I456">
        <v>15.7</v>
      </c>
      <c r="J456">
        <f t="shared" si="21"/>
        <v>22.929936305732486</v>
      </c>
      <c r="K456">
        <f t="shared" si="22"/>
        <v>46.000000000000028</v>
      </c>
      <c r="L456" s="1">
        <f t="shared" si="23"/>
        <v>338.12300000000016</v>
      </c>
    </row>
    <row r="457" spans="1:12" x14ac:dyDescent="0.35">
      <c r="A457" t="s">
        <v>581</v>
      </c>
      <c r="B457" t="s">
        <v>16</v>
      </c>
      <c r="C457" t="s">
        <v>28</v>
      </c>
      <c r="D457" t="s">
        <v>28</v>
      </c>
      <c r="E457">
        <v>2</v>
      </c>
      <c r="F457">
        <v>2079.73</v>
      </c>
      <c r="G457">
        <v>1100</v>
      </c>
      <c r="H457">
        <v>30</v>
      </c>
      <c r="I457">
        <v>46.2</v>
      </c>
      <c r="J457">
        <f t="shared" si="21"/>
        <v>23.809523809523807</v>
      </c>
      <c r="K457">
        <f t="shared" si="22"/>
        <v>175.99999999999989</v>
      </c>
      <c r="L457" s="1">
        <f t="shared" si="23"/>
        <v>332.75679999999977</v>
      </c>
    </row>
    <row r="458" spans="1:12" x14ac:dyDescent="0.35">
      <c r="A458" t="s">
        <v>582</v>
      </c>
      <c r="B458" t="s">
        <v>150</v>
      </c>
      <c r="C458" t="s">
        <v>184</v>
      </c>
      <c r="D458" t="s">
        <v>583</v>
      </c>
      <c r="E458">
        <v>1</v>
      </c>
      <c r="F458">
        <v>332.43239999999997</v>
      </c>
      <c r="G458">
        <v>12</v>
      </c>
      <c r="H458">
        <v>0</v>
      </c>
      <c r="I458">
        <v>0</v>
      </c>
      <c r="J458" t="str">
        <f t="shared" si="21"/>
        <v>no usage/demand</v>
      </c>
      <c r="K458">
        <f t="shared" si="22"/>
        <v>12</v>
      </c>
      <c r="L458" s="1">
        <f t="shared" si="23"/>
        <v>332.43239999999997</v>
      </c>
    </row>
    <row r="459" spans="1:12" x14ac:dyDescent="0.35">
      <c r="A459" t="s">
        <v>584</v>
      </c>
      <c r="B459" t="s">
        <v>585</v>
      </c>
      <c r="C459" t="s">
        <v>585</v>
      </c>
      <c r="D459" t="s">
        <v>585</v>
      </c>
      <c r="E459">
        <v>1</v>
      </c>
      <c r="F459">
        <v>309.75</v>
      </c>
      <c r="G459">
        <v>295</v>
      </c>
      <c r="H459">
        <v>0</v>
      </c>
      <c r="I459">
        <v>0</v>
      </c>
      <c r="J459" t="str">
        <f t="shared" si="21"/>
        <v>no usage/demand</v>
      </c>
      <c r="K459">
        <f t="shared" si="22"/>
        <v>295</v>
      </c>
      <c r="L459" s="1">
        <f t="shared" si="23"/>
        <v>309.75</v>
      </c>
    </row>
    <row r="460" spans="1:12" x14ac:dyDescent="0.35">
      <c r="A460" t="s">
        <v>436</v>
      </c>
      <c r="B460" t="s">
        <v>40</v>
      </c>
      <c r="C460" t="s">
        <v>117</v>
      </c>
      <c r="D460" t="s">
        <v>117</v>
      </c>
      <c r="E460">
        <v>1</v>
      </c>
      <c r="F460">
        <v>507.77539999999999</v>
      </c>
      <c r="G460">
        <v>5</v>
      </c>
      <c r="H460">
        <v>0</v>
      </c>
      <c r="I460">
        <v>0.1</v>
      </c>
      <c r="J460">
        <f t="shared" si="21"/>
        <v>50</v>
      </c>
      <c r="K460">
        <f t="shared" si="22"/>
        <v>3</v>
      </c>
      <c r="L460" s="1">
        <f t="shared" si="23"/>
        <v>304.66524000000004</v>
      </c>
    </row>
    <row r="461" spans="1:12" x14ac:dyDescent="0.35">
      <c r="A461" t="s">
        <v>586</v>
      </c>
      <c r="B461" t="s">
        <v>88</v>
      </c>
      <c r="C461" t="s">
        <v>213</v>
      </c>
      <c r="D461" t="s">
        <v>213</v>
      </c>
      <c r="E461">
        <v>1</v>
      </c>
      <c r="F461">
        <v>606.5711</v>
      </c>
      <c r="G461">
        <v>72</v>
      </c>
      <c r="H461">
        <v>0</v>
      </c>
      <c r="I461">
        <v>1.8</v>
      </c>
      <c r="J461">
        <f t="shared" si="21"/>
        <v>40</v>
      </c>
      <c r="K461">
        <f t="shared" si="22"/>
        <v>36</v>
      </c>
      <c r="L461" s="1">
        <f t="shared" si="23"/>
        <v>303.28555</v>
      </c>
    </row>
    <row r="462" spans="1:12" x14ac:dyDescent="0.35">
      <c r="A462" t="s">
        <v>455</v>
      </c>
      <c r="B462" t="s">
        <v>37</v>
      </c>
      <c r="C462" t="s">
        <v>68</v>
      </c>
      <c r="D462" t="s">
        <v>68</v>
      </c>
      <c r="E462">
        <v>1</v>
      </c>
      <c r="F462">
        <v>1949.4</v>
      </c>
      <c r="G462">
        <v>360</v>
      </c>
      <c r="H462">
        <v>2</v>
      </c>
      <c r="I462">
        <v>15.2</v>
      </c>
      <c r="J462">
        <f t="shared" si="21"/>
        <v>23.684210526315791</v>
      </c>
      <c r="K462">
        <f t="shared" si="22"/>
        <v>56.000000000000021</v>
      </c>
      <c r="L462" s="1">
        <f t="shared" si="23"/>
        <v>303.24000000000012</v>
      </c>
    </row>
    <row r="463" spans="1:12" x14ac:dyDescent="0.35">
      <c r="A463" t="s">
        <v>587</v>
      </c>
      <c r="B463" t="s">
        <v>16</v>
      </c>
      <c r="C463" t="s">
        <v>588</v>
      </c>
      <c r="D463" t="s">
        <v>588</v>
      </c>
      <c r="E463">
        <v>1</v>
      </c>
      <c r="F463">
        <v>1410.08</v>
      </c>
      <c r="G463">
        <v>280</v>
      </c>
      <c r="H463">
        <v>11</v>
      </c>
      <c r="I463">
        <v>6.2</v>
      </c>
      <c r="J463">
        <f t="shared" si="21"/>
        <v>25.454545454545453</v>
      </c>
      <c r="K463">
        <f t="shared" si="22"/>
        <v>59.999999999999986</v>
      </c>
      <c r="L463" s="1">
        <f t="shared" si="23"/>
        <v>302.15999999999991</v>
      </c>
    </row>
    <row r="464" spans="1:12" x14ac:dyDescent="0.35">
      <c r="A464" t="s">
        <v>589</v>
      </c>
      <c r="B464" t="s">
        <v>110</v>
      </c>
      <c r="C464" t="s">
        <v>170</v>
      </c>
      <c r="D464" t="s">
        <v>205</v>
      </c>
      <c r="E464">
        <v>1</v>
      </c>
      <c r="F464">
        <v>301.54539999999997</v>
      </c>
      <c r="G464">
        <v>1</v>
      </c>
      <c r="H464">
        <v>0</v>
      </c>
      <c r="I464">
        <v>0</v>
      </c>
      <c r="J464" t="str">
        <f t="shared" si="21"/>
        <v>no usage/demand</v>
      </c>
      <c r="K464">
        <f t="shared" si="22"/>
        <v>1</v>
      </c>
      <c r="L464" s="1">
        <f t="shared" si="23"/>
        <v>301.54539999999997</v>
      </c>
    </row>
    <row r="465" spans="1:12" x14ac:dyDescent="0.35">
      <c r="A465" t="s">
        <v>590</v>
      </c>
      <c r="B465" t="s">
        <v>16</v>
      </c>
      <c r="C465" t="s">
        <v>17</v>
      </c>
      <c r="D465" t="s">
        <v>17</v>
      </c>
      <c r="E465">
        <v>1</v>
      </c>
      <c r="F465">
        <v>281.33999999999997</v>
      </c>
      <c r="G465">
        <v>150</v>
      </c>
      <c r="H465">
        <v>0</v>
      </c>
      <c r="I465">
        <v>0</v>
      </c>
      <c r="J465" t="str">
        <f t="shared" si="21"/>
        <v>no usage/demand</v>
      </c>
      <c r="K465">
        <f t="shared" si="22"/>
        <v>150</v>
      </c>
      <c r="L465" s="1">
        <f t="shared" si="23"/>
        <v>281.33999999999997</v>
      </c>
    </row>
    <row r="466" spans="1:12" x14ac:dyDescent="0.35">
      <c r="A466" t="s">
        <v>591</v>
      </c>
      <c r="B466" t="s">
        <v>43</v>
      </c>
      <c r="C466" t="s">
        <v>281</v>
      </c>
      <c r="D466" t="s">
        <v>281</v>
      </c>
      <c r="E466">
        <v>1</v>
      </c>
      <c r="F466">
        <v>1056.3615</v>
      </c>
      <c r="G466">
        <v>27</v>
      </c>
      <c r="H466">
        <v>1</v>
      </c>
      <c r="I466">
        <v>0.2</v>
      </c>
      <c r="J466">
        <f t="shared" si="21"/>
        <v>27</v>
      </c>
      <c r="K466">
        <f t="shared" si="22"/>
        <v>7</v>
      </c>
      <c r="L466" s="1">
        <f t="shared" si="23"/>
        <v>273.87149999999997</v>
      </c>
    </row>
    <row r="467" spans="1:12" x14ac:dyDescent="0.35">
      <c r="A467" t="s">
        <v>592</v>
      </c>
      <c r="B467" t="s">
        <v>593</v>
      </c>
      <c r="C467" t="s">
        <v>593</v>
      </c>
      <c r="D467" t="s">
        <v>593</v>
      </c>
      <c r="E467">
        <v>1</v>
      </c>
      <c r="F467">
        <v>270.60000000000002</v>
      </c>
      <c r="G467">
        <v>41</v>
      </c>
      <c r="H467">
        <v>0</v>
      </c>
      <c r="I467">
        <v>0</v>
      </c>
      <c r="J467" t="str">
        <f t="shared" si="21"/>
        <v>no usage/demand</v>
      </c>
      <c r="K467">
        <f t="shared" si="22"/>
        <v>41</v>
      </c>
      <c r="L467" s="1">
        <f t="shared" si="23"/>
        <v>270.60000000000002</v>
      </c>
    </row>
    <row r="468" spans="1:12" x14ac:dyDescent="0.35">
      <c r="A468" t="s">
        <v>594</v>
      </c>
      <c r="B468" t="s">
        <v>37</v>
      </c>
      <c r="C468" t="s">
        <v>528</v>
      </c>
      <c r="D468" t="s">
        <v>528</v>
      </c>
      <c r="E468">
        <v>1</v>
      </c>
      <c r="F468">
        <v>6365.1</v>
      </c>
      <c r="G468">
        <v>100</v>
      </c>
      <c r="H468">
        <v>0</v>
      </c>
      <c r="I468">
        <v>4.8</v>
      </c>
      <c r="J468">
        <f t="shared" si="21"/>
        <v>20.833333333333336</v>
      </c>
      <c r="K468">
        <f t="shared" si="22"/>
        <v>4.0000000000000115</v>
      </c>
      <c r="L468" s="1">
        <f t="shared" si="23"/>
        <v>254.60400000000075</v>
      </c>
    </row>
    <row r="469" spans="1:12" x14ac:dyDescent="0.35">
      <c r="A469" t="s">
        <v>595</v>
      </c>
      <c r="B469" t="s">
        <v>290</v>
      </c>
      <c r="C469" t="s">
        <v>291</v>
      </c>
      <c r="D469" t="s">
        <v>291</v>
      </c>
      <c r="E469">
        <v>1</v>
      </c>
      <c r="F469">
        <v>250.48699999999999</v>
      </c>
      <c r="G469">
        <v>5</v>
      </c>
      <c r="H469">
        <v>0</v>
      </c>
      <c r="I469">
        <v>0</v>
      </c>
      <c r="J469" t="str">
        <f t="shared" si="21"/>
        <v>no usage/demand</v>
      </c>
      <c r="K469">
        <f t="shared" si="22"/>
        <v>5</v>
      </c>
      <c r="L469" s="1">
        <f t="shared" si="23"/>
        <v>250.48699999999999</v>
      </c>
    </row>
    <row r="470" spans="1:12" x14ac:dyDescent="0.35">
      <c r="A470" t="s">
        <v>596</v>
      </c>
      <c r="B470" t="s">
        <v>40</v>
      </c>
      <c r="C470" t="s">
        <v>117</v>
      </c>
      <c r="D470" t="s">
        <v>117</v>
      </c>
      <c r="E470">
        <v>1</v>
      </c>
      <c r="F470">
        <v>955.25040000000001</v>
      </c>
      <c r="G470">
        <v>8</v>
      </c>
      <c r="H470">
        <v>0</v>
      </c>
      <c r="I470">
        <v>0.3</v>
      </c>
      <c r="J470">
        <f t="shared" si="21"/>
        <v>26.666666666666668</v>
      </c>
      <c r="K470">
        <f t="shared" si="22"/>
        <v>2.0000000000000004</v>
      </c>
      <c r="L470" s="1">
        <f t="shared" si="23"/>
        <v>238.81260000000006</v>
      </c>
    </row>
    <row r="471" spans="1:12" x14ac:dyDescent="0.35">
      <c r="A471" t="s">
        <v>597</v>
      </c>
      <c r="B471" t="s">
        <v>43</v>
      </c>
      <c r="C471" t="s">
        <v>281</v>
      </c>
      <c r="D471" t="s">
        <v>281</v>
      </c>
      <c r="E471">
        <v>1</v>
      </c>
      <c r="F471">
        <v>230.50980000000001</v>
      </c>
      <c r="G471">
        <v>17</v>
      </c>
      <c r="H471">
        <v>0</v>
      </c>
      <c r="I471">
        <v>0</v>
      </c>
      <c r="J471" t="str">
        <f t="shared" si="21"/>
        <v>no usage/demand</v>
      </c>
      <c r="K471">
        <f t="shared" si="22"/>
        <v>17</v>
      </c>
      <c r="L471" s="1">
        <f t="shared" si="23"/>
        <v>230.50980000000001</v>
      </c>
    </row>
    <row r="472" spans="1:12" x14ac:dyDescent="0.35">
      <c r="A472" t="s">
        <v>598</v>
      </c>
      <c r="B472" t="s">
        <v>37</v>
      </c>
      <c r="C472" t="s">
        <v>194</v>
      </c>
      <c r="D472" t="s">
        <v>194</v>
      </c>
      <c r="E472">
        <v>1</v>
      </c>
      <c r="F472">
        <v>4831.4826000000003</v>
      </c>
      <c r="G472">
        <v>63</v>
      </c>
      <c r="H472">
        <v>3</v>
      </c>
      <c r="I472">
        <v>1.6</v>
      </c>
      <c r="J472">
        <f t="shared" si="21"/>
        <v>21</v>
      </c>
      <c r="K472">
        <f t="shared" si="22"/>
        <v>3</v>
      </c>
      <c r="L472" s="1">
        <f t="shared" si="23"/>
        <v>230.07060000000001</v>
      </c>
    </row>
    <row r="473" spans="1:12" x14ac:dyDescent="0.35">
      <c r="A473" t="s">
        <v>599</v>
      </c>
      <c r="B473" t="s">
        <v>150</v>
      </c>
      <c r="C473" t="s">
        <v>184</v>
      </c>
      <c r="D473" t="s">
        <v>185</v>
      </c>
      <c r="E473">
        <v>1</v>
      </c>
      <c r="F473">
        <v>225.90719999999999</v>
      </c>
      <c r="G473">
        <v>48</v>
      </c>
      <c r="H473">
        <v>0</v>
      </c>
      <c r="I473">
        <v>0</v>
      </c>
      <c r="J473" t="str">
        <f t="shared" si="21"/>
        <v>no usage/demand</v>
      </c>
      <c r="K473">
        <f t="shared" si="22"/>
        <v>48</v>
      </c>
      <c r="L473" s="1">
        <f t="shared" si="23"/>
        <v>225.90719999999999</v>
      </c>
    </row>
    <row r="474" spans="1:12" x14ac:dyDescent="0.35">
      <c r="A474" t="s">
        <v>600</v>
      </c>
      <c r="B474" t="s">
        <v>43</v>
      </c>
      <c r="C474" t="s">
        <v>201</v>
      </c>
      <c r="D474" t="s">
        <v>201</v>
      </c>
      <c r="E474">
        <v>1</v>
      </c>
      <c r="F474">
        <v>1077.3235</v>
      </c>
      <c r="G474">
        <v>5</v>
      </c>
      <c r="H474">
        <v>0</v>
      </c>
      <c r="I474">
        <v>0.2</v>
      </c>
      <c r="J474">
        <f t="shared" si="21"/>
        <v>25</v>
      </c>
      <c r="K474">
        <f t="shared" si="22"/>
        <v>1</v>
      </c>
      <c r="L474" s="1">
        <f t="shared" si="23"/>
        <v>215.46469999999999</v>
      </c>
    </row>
    <row r="475" spans="1:12" x14ac:dyDescent="0.35">
      <c r="A475" t="s">
        <v>601</v>
      </c>
      <c r="B475" t="s">
        <v>43</v>
      </c>
      <c r="C475" t="s">
        <v>281</v>
      </c>
      <c r="D475" t="s">
        <v>281</v>
      </c>
      <c r="E475">
        <v>1</v>
      </c>
      <c r="F475">
        <v>211.68</v>
      </c>
      <c r="G475">
        <v>36</v>
      </c>
      <c r="H475">
        <v>0</v>
      </c>
      <c r="I475">
        <v>0</v>
      </c>
      <c r="J475" t="str">
        <f t="shared" si="21"/>
        <v>no usage/demand</v>
      </c>
      <c r="K475">
        <f t="shared" si="22"/>
        <v>36</v>
      </c>
      <c r="L475" s="1">
        <f t="shared" si="23"/>
        <v>211.68</v>
      </c>
    </row>
    <row r="476" spans="1:12" x14ac:dyDescent="0.35">
      <c r="A476" t="s">
        <v>602</v>
      </c>
      <c r="B476" t="s">
        <v>593</v>
      </c>
      <c r="C476" t="s">
        <v>593</v>
      </c>
      <c r="D476" t="s">
        <v>593</v>
      </c>
      <c r="E476">
        <v>2</v>
      </c>
      <c r="F476">
        <v>209</v>
      </c>
      <c r="G476">
        <v>38</v>
      </c>
      <c r="H476">
        <v>0</v>
      </c>
      <c r="I476">
        <v>0</v>
      </c>
      <c r="J476" t="str">
        <f t="shared" si="21"/>
        <v>no usage/demand</v>
      </c>
      <c r="K476">
        <f t="shared" si="22"/>
        <v>38</v>
      </c>
      <c r="L476" s="1">
        <f t="shared" si="23"/>
        <v>209</v>
      </c>
    </row>
    <row r="477" spans="1:12" x14ac:dyDescent="0.35">
      <c r="A477" t="s">
        <v>603</v>
      </c>
      <c r="B477" t="s">
        <v>110</v>
      </c>
      <c r="C477" t="s">
        <v>170</v>
      </c>
      <c r="D477" t="s">
        <v>192</v>
      </c>
      <c r="E477">
        <v>1</v>
      </c>
      <c r="F477">
        <v>205.28</v>
      </c>
      <c r="G477">
        <v>1</v>
      </c>
      <c r="H477">
        <v>0</v>
      </c>
      <c r="I477">
        <v>0</v>
      </c>
      <c r="J477" t="str">
        <f t="shared" si="21"/>
        <v>no usage/demand</v>
      </c>
      <c r="K477">
        <f t="shared" si="22"/>
        <v>1</v>
      </c>
      <c r="L477" s="1">
        <f t="shared" si="23"/>
        <v>205.28</v>
      </c>
    </row>
    <row r="478" spans="1:12" x14ac:dyDescent="0.35">
      <c r="A478" t="s">
        <v>604</v>
      </c>
      <c r="B478" t="s">
        <v>43</v>
      </c>
      <c r="C478" t="s">
        <v>281</v>
      </c>
      <c r="D478" t="s">
        <v>281</v>
      </c>
      <c r="E478">
        <v>1</v>
      </c>
      <c r="F478">
        <v>196.09800000000001</v>
      </c>
      <c r="G478">
        <v>46</v>
      </c>
      <c r="H478">
        <v>0</v>
      </c>
      <c r="I478">
        <v>0</v>
      </c>
      <c r="J478" t="str">
        <f t="shared" si="21"/>
        <v>no usage/demand</v>
      </c>
      <c r="K478">
        <f t="shared" si="22"/>
        <v>46</v>
      </c>
      <c r="L478" s="1">
        <f t="shared" si="23"/>
        <v>196.09799999999998</v>
      </c>
    </row>
    <row r="479" spans="1:12" x14ac:dyDescent="0.35">
      <c r="A479" t="s">
        <v>605</v>
      </c>
      <c r="B479" t="s">
        <v>37</v>
      </c>
      <c r="C479" t="s">
        <v>396</v>
      </c>
      <c r="D479" t="s">
        <v>396</v>
      </c>
      <c r="E479">
        <v>1</v>
      </c>
      <c r="F479">
        <v>178.63919999999999</v>
      </c>
      <c r="G479">
        <v>36</v>
      </c>
      <c r="H479">
        <v>0</v>
      </c>
      <c r="I479">
        <v>0</v>
      </c>
      <c r="J479" t="str">
        <f t="shared" si="21"/>
        <v>no usage/demand</v>
      </c>
      <c r="K479">
        <f t="shared" si="22"/>
        <v>36</v>
      </c>
      <c r="L479" s="1">
        <f t="shared" si="23"/>
        <v>178.63919999999996</v>
      </c>
    </row>
    <row r="480" spans="1:12" x14ac:dyDescent="0.35">
      <c r="A480" t="s">
        <v>606</v>
      </c>
      <c r="B480" t="s">
        <v>88</v>
      </c>
      <c r="C480" t="s">
        <v>89</v>
      </c>
      <c r="D480" t="s">
        <v>89</v>
      </c>
      <c r="E480">
        <v>1</v>
      </c>
      <c r="F480">
        <v>1443.4056</v>
      </c>
      <c r="G480">
        <v>168</v>
      </c>
      <c r="H480">
        <v>1</v>
      </c>
      <c r="I480">
        <v>7.4</v>
      </c>
      <c r="J480">
        <f t="shared" si="21"/>
        <v>22.702702702702702</v>
      </c>
      <c r="K480">
        <f t="shared" si="22"/>
        <v>19.999999999999993</v>
      </c>
      <c r="L480" s="1">
        <f t="shared" si="23"/>
        <v>171.83399999999992</v>
      </c>
    </row>
    <row r="481" spans="1:12" x14ac:dyDescent="0.35">
      <c r="A481" t="s">
        <v>607</v>
      </c>
      <c r="B481" t="s">
        <v>150</v>
      </c>
      <c r="C481" t="s">
        <v>425</v>
      </c>
      <c r="D481" t="s">
        <v>426</v>
      </c>
      <c r="E481">
        <v>1</v>
      </c>
      <c r="F481">
        <v>147.9033</v>
      </c>
      <c r="G481">
        <v>3</v>
      </c>
      <c r="H481">
        <v>0</v>
      </c>
      <c r="I481">
        <v>0</v>
      </c>
      <c r="J481" t="str">
        <f t="shared" si="21"/>
        <v>no usage/demand</v>
      </c>
      <c r="K481">
        <f t="shared" si="22"/>
        <v>3</v>
      </c>
      <c r="L481" s="1">
        <f t="shared" si="23"/>
        <v>147.9033</v>
      </c>
    </row>
    <row r="482" spans="1:12" x14ac:dyDescent="0.35">
      <c r="A482" t="s">
        <v>608</v>
      </c>
      <c r="B482" t="s">
        <v>88</v>
      </c>
      <c r="C482" t="s">
        <v>89</v>
      </c>
      <c r="D482" t="s">
        <v>89</v>
      </c>
      <c r="E482">
        <v>1</v>
      </c>
      <c r="F482">
        <v>549.92160000000001</v>
      </c>
      <c r="G482">
        <v>48</v>
      </c>
      <c r="H482">
        <v>0</v>
      </c>
      <c r="I482">
        <v>1.8</v>
      </c>
      <c r="J482">
        <f t="shared" si="21"/>
        <v>26.666666666666664</v>
      </c>
      <c r="K482">
        <f t="shared" si="22"/>
        <v>11.999999999999996</v>
      </c>
      <c r="L482" s="1">
        <f t="shared" si="23"/>
        <v>137.48039999999995</v>
      </c>
    </row>
    <row r="483" spans="1:12" x14ac:dyDescent="0.35">
      <c r="A483" t="s">
        <v>609</v>
      </c>
      <c r="B483" t="s">
        <v>43</v>
      </c>
      <c r="C483" t="s">
        <v>281</v>
      </c>
      <c r="D483" t="s">
        <v>281</v>
      </c>
      <c r="E483">
        <v>1</v>
      </c>
      <c r="F483">
        <v>136.416</v>
      </c>
      <c r="G483">
        <v>32</v>
      </c>
      <c r="H483">
        <v>0</v>
      </c>
      <c r="I483">
        <v>0</v>
      </c>
      <c r="J483" t="str">
        <f t="shared" si="21"/>
        <v>no usage/demand</v>
      </c>
      <c r="K483">
        <f t="shared" si="22"/>
        <v>32</v>
      </c>
      <c r="L483" s="1">
        <f t="shared" si="23"/>
        <v>136.416</v>
      </c>
    </row>
    <row r="484" spans="1:12" x14ac:dyDescent="0.35">
      <c r="A484" t="s">
        <v>610</v>
      </c>
      <c r="B484" t="s">
        <v>43</v>
      </c>
      <c r="C484" t="s">
        <v>281</v>
      </c>
      <c r="D484" t="s">
        <v>281</v>
      </c>
      <c r="E484">
        <v>1</v>
      </c>
      <c r="F484">
        <v>136.39500000000001</v>
      </c>
      <c r="G484">
        <v>15</v>
      </c>
      <c r="H484">
        <v>0</v>
      </c>
      <c r="I484">
        <v>0</v>
      </c>
      <c r="J484" t="str">
        <f t="shared" si="21"/>
        <v>no usage/demand</v>
      </c>
      <c r="K484">
        <f t="shared" si="22"/>
        <v>15</v>
      </c>
      <c r="L484" s="1">
        <f t="shared" si="23"/>
        <v>136.39500000000001</v>
      </c>
    </row>
    <row r="485" spans="1:12" x14ac:dyDescent="0.35">
      <c r="A485" t="s">
        <v>611</v>
      </c>
      <c r="B485" t="s">
        <v>88</v>
      </c>
      <c r="C485" t="s">
        <v>89</v>
      </c>
      <c r="D485" t="s">
        <v>89</v>
      </c>
      <c r="E485">
        <v>1</v>
      </c>
      <c r="F485">
        <v>510.73919999999998</v>
      </c>
      <c r="G485">
        <v>48</v>
      </c>
      <c r="H485">
        <v>1</v>
      </c>
      <c r="I485">
        <v>1.8</v>
      </c>
      <c r="J485">
        <f t="shared" si="21"/>
        <v>26.666666666666664</v>
      </c>
      <c r="K485">
        <f t="shared" si="22"/>
        <v>11.999999999999996</v>
      </c>
      <c r="L485" s="1">
        <f t="shared" si="23"/>
        <v>127.68479999999995</v>
      </c>
    </row>
    <row r="486" spans="1:12" x14ac:dyDescent="0.35">
      <c r="A486" t="s">
        <v>612</v>
      </c>
      <c r="B486" t="s">
        <v>110</v>
      </c>
      <c r="C486" t="s">
        <v>170</v>
      </c>
      <c r="D486" t="s">
        <v>444</v>
      </c>
      <c r="E486">
        <v>1</v>
      </c>
      <c r="F486">
        <v>1028.2348999999999</v>
      </c>
      <c r="G486">
        <v>41</v>
      </c>
      <c r="H486">
        <v>1</v>
      </c>
      <c r="I486">
        <v>1.8</v>
      </c>
      <c r="J486">
        <f t="shared" si="21"/>
        <v>22.777777777777779</v>
      </c>
      <c r="K486">
        <f t="shared" si="22"/>
        <v>5.0000000000000018</v>
      </c>
      <c r="L486" s="1">
        <f t="shared" si="23"/>
        <v>125.39450000000004</v>
      </c>
    </row>
    <row r="487" spans="1:12" x14ac:dyDescent="0.35">
      <c r="A487" t="s">
        <v>613</v>
      </c>
      <c r="B487" t="s">
        <v>320</v>
      </c>
      <c r="C487" t="s">
        <v>614</v>
      </c>
      <c r="D487" t="s">
        <v>614</v>
      </c>
      <c r="E487">
        <v>1</v>
      </c>
      <c r="F487">
        <v>120.6104</v>
      </c>
      <c r="G487">
        <v>4</v>
      </c>
      <c r="H487">
        <v>0</v>
      </c>
      <c r="I487">
        <v>0</v>
      </c>
      <c r="J487" t="str">
        <f t="shared" si="21"/>
        <v>no usage/demand</v>
      </c>
      <c r="K487">
        <f t="shared" si="22"/>
        <v>4</v>
      </c>
      <c r="L487" s="1">
        <f t="shared" si="23"/>
        <v>120.6104</v>
      </c>
    </row>
    <row r="488" spans="1:12" x14ac:dyDescent="0.35">
      <c r="A488" t="s">
        <v>615</v>
      </c>
      <c r="B488" t="s">
        <v>43</v>
      </c>
      <c r="C488" t="s">
        <v>561</v>
      </c>
      <c r="D488" t="s">
        <v>561</v>
      </c>
      <c r="E488">
        <v>1</v>
      </c>
      <c r="F488">
        <v>115.5</v>
      </c>
      <c r="G488">
        <v>4</v>
      </c>
      <c r="H488">
        <v>0</v>
      </c>
      <c r="I488">
        <v>0</v>
      </c>
      <c r="J488" t="str">
        <f t="shared" si="21"/>
        <v>no usage/demand</v>
      </c>
      <c r="K488">
        <f t="shared" si="22"/>
        <v>4</v>
      </c>
      <c r="L488" s="1">
        <f t="shared" si="23"/>
        <v>115.5</v>
      </c>
    </row>
    <row r="489" spans="1:12" x14ac:dyDescent="0.35">
      <c r="A489" t="s">
        <v>616</v>
      </c>
      <c r="B489" t="s">
        <v>37</v>
      </c>
      <c r="C489" t="s">
        <v>194</v>
      </c>
      <c r="D489" t="s">
        <v>194</v>
      </c>
      <c r="E489">
        <v>1</v>
      </c>
      <c r="F489">
        <v>4266.6507000000001</v>
      </c>
      <c r="G489">
        <v>39</v>
      </c>
      <c r="H489">
        <v>0</v>
      </c>
      <c r="I489">
        <v>1.9</v>
      </c>
      <c r="J489">
        <f t="shared" si="21"/>
        <v>20.526315789473685</v>
      </c>
      <c r="K489">
        <f t="shared" si="22"/>
        <v>1.0000000000000013</v>
      </c>
      <c r="L489" s="1">
        <f t="shared" si="23"/>
        <v>109.40130000000015</v>
      </c>
    </row>
    <row r="490" spans="1:12" x14ac:dyDescent="0.35">
      <c r="A490" t="s">
        <v>148</v>
      </c>
      <c r="B490" t="s">
        <v>40</v>
      </c>
      <c r="C490" t="s">
        <v>117</v>
      </c>
      <c r="D490" t="s">
        <v>117</v>
      </c>
      <c r="E490">
        <v>1</v>
      </c>
      <c r="F490">
        <v>108.4066</v>
      </c>
      <c r="G490">
        <v>1</v>
      </c>
      <c r="H490">
        <v>0</v>
      </c>
      <c r="I490">
        <v>0</v>
      </c>
      <c r="J490" t="str">
        <f t="shared" si="21"/>
        <v>no usage/demand</v>
      </c>
      <c r="K490">
        <f t="shared" si="22"/>
        <v>1</v>
      </c>
      <c r="L490" s="1">
        <f t="shared" si="23"/>
        <v>108.4066</v>
      </c>
    </row>
    <row r="491" spans="1:12" x14ac:dyDescent="0.35">
      <c r="A491" t="s">
        <v>617</v>
      </c>
      <c r="B491" t="s">
        <v>43</v>
      </c>
      <c r="C491" t="s">
        <v>281</v>
      </c>
      <c r="D491" t="s">
        <v>281</v>
      </c>
      <c r="E491">
        <v>1</v>
      </c>
      <c r="F491">
        <v>100.32899999999999</v>
      </c>
      <c r="G491">
        <v>15</v>
      </c>
      <c r="H491">
        <v>0</v>
      </c>
      <c r="I491">
        <v>0</v>
      </c>
      <c r="J491" t="str">
        <f t="shared" si="21"/>
        <v>no usage/demand</v>
      </c>
      <c r="K491">
        <f t="shared" si="22"/>
        <v>15</v>
      </c>
      <c r="L491" s="1">
        <f t="shared" si="23"/>
        <v>100.32899999999999</v>
      </c>
    </row>
    <row r="492" spans="1:12" x14ac:dyDescent="0.35">
      <c r="A492" t="s">
        <v>618</v>
      </c>
      <c r="B492" t="s">
        <v>593</v>
      </c>
      <c r="C492" t="s">
        <v>593</v>
      </c>
      <c r="D492" t="s">
        <v>593</v>
      </c>
      <c r="E492">
        <v>2</v>
      </c>
      <c r="F492">
        <v>210.5686</v>
      </c>
      <c r="G492">
        <v>38</v>
      </c>
      <c r="H492">
        <v>1</v>
      </c>
      <c r="I492">
        <v>0</v>
      </c>
      <c r="J492">
        <f t="shared" si="21"/>
        <v>38</v>
      </c>
      <c r="K492">
        <f t="shared" si="22"/>
        <v>18</v>
      </c>
      <c r="L492" s="1">
        <f t="shared" si="23"/>
        <v>99.743021052631576</v>
      </c>
    </row>
    <row r="493" spans="1:12" x14ac:dyDescent="0.35">
      <c r="A493" t="s">
        <v>619</v>
      </c>
      <c r="B493" t="s">
        <v>43</v>
      </c>
      <c r="C493" t="s">
        <v>281</v>
      </c>
      <c r="D493" t="s">
        <v>281</v>
      </c>
      <c r="E493">
        <v>1</v>
      </c>
      <c r="F493">
        <v>92.138800000000003</v>
      </c>
      <c r="G493">
        <v>13</v>
      </c>
      <c r="H493">
        <v>0</v>
      </c>
      <c r="I493">
        <v>0</v>
      </c>
      <c r="J493" t="str">
        <f t="shared" si="21"/>
        <v>no usage/demand</v>
      </c>
      <c r="K493">
        <f t="shared" si="22"/>
        <v>13</v>
      </c>
      <c r="L493" s="1">
        <f t="shared" si="23"/>
        <v>92.138800000000003</v>
      </c>
    </row>
    <row r="494" spans="1:12" x14ac:dyDescent="0.35">
      <c r="A494" t="s">
        <v>620</v>
      </c>
      <c r="B494" t="s">
        <v>37</v>
      </c>
      <c r="C494" t="s">
        <v>147</v>
      </c>
      <c r="D494" t="s">
        <v>147</v>
      </c>
      <c r="E494">
        <v>1</v>
      </c>
      <c r="F494">
        <v>4034.4484000000002</v>
      </c>
      <c r="G494">
        <v>92</v>
      </c>
      <c r="H494">
        <v>1</v>
      </c>
      <c r="I494">
        <v>4.5</v>
      </c>
      <c r="J494">
        <f t="shared" si="21"/>
        <v>20.444444444444443</v>
      </c>
      <c r="K494">
        <f t="shared" si="22"/>
        <v>1.9999999999999929</v>
      </c>
      <c r="L494" s="1">
        <f t="shared" si="23"/>
        <v>87.705399999999699</v>
      </c>
    </row>
    <row r="495" spans="1:12" x14ac:dyDescent="0.35">
      <c r="A495" t="s">
        <v>621</v>
      </c>
      <c r="B495" t="s">
        <v>161</v>
      </c>
      <c r="C495" t="s">
        <v>162</v>
      </c>
      <c r="D495" t="s">
        <v>163</v>
      </c>
      <c r="E495">
        <v>1</v>
      </c>
      <c r="F495">
        <v>86.218199999999996</v>
      </c>
      <c r="G495">
        <v>18</v>
      </c>
      <c r="H495">
        <v>0</v>
      </c>
      <c r="I495">
        <v>0</v>
      </c>
      <c r="J495" t="str">
        <f t="shared" si="21"/>
        <v>no usage/demand</v>
      </c>
      <c r="K495">
        <f t="shared" si="22"/>
        <v>18</v>
      </c>
      <c r="L495" s="1">
        <f t="shared" si="23"/>
        <v>86.218199999999996</v>
      </c>
    </row>
    <row r="496" spans="1:12" x14ac:dyDescent="0.35">
      <c r="A496" t="s">
        <v>622</v>
      </c>
      <c r="B496" t="s">
        <v>16</v>
      </c>
      <c r="C496" t="s">
        <v>28</v>
      </c>
      <c r="D496" t="s">
        <v>28</v>
      </c>
      <c r="E496">
        <v>1</v>
      </c>
      <c r="F496">
        <v>1774.08</v>
      </c>
      <c r="G496">
        <v>1050</v>
      </c>
      <c r="H496">
        <v>50</v>
      </c>
      <c r="I496">
        <v>46.2</v>
      </c>
      <c r="J496">
        <f t="shared" si="21"/>
        <v>21</v>
      </c>
      <c r="K496">
        <f t="shared" si="22"/>
        <v>50</v>
      </c>
      <c r="L496" s="1">
        <f t="shared" si="23"/>
        <v>84.48</v>
      </c>
    </row>
    <row r="497" spans="1:12" x14ac:dyDescent="0.35">
      <c r="A497" t="s">
        <v>623</v>
      </c>
      <c r="B497" t="s">
        <v>37</v>
      </c>
      <c r="C497" t="s">
        <v>75</v>
      </c>
      <c r="D497" t="s">
        <v>75</v>
      </c>
      <c r="E497">
        <v>1</v>
      </c>
      <c r="F497">
        <v>2572.0001999999999</v>
      </c>
      <c r="G497">
        <v>66</v>
      </c>
      <c r="H497">
        <v>0</v>
      </c>
      <c r="I497">
        <v>3.2</v>
      </c>
      <c r="J497">
        <f t="shared" si="21"/>
        <v>20.625</v>
      </c>
      <c r="K497">
        <f t="shared" si="22"/>
        <v>2</v>
      </c>
      <c r="L497" s="1">
        <f t="shared" si="23"/>
        <v>77.939399999999992</v>
      </c>
    </row>
    <row r="498" spans="1:12" x14ac:dyDescent="0.35">
      <c r="A498" t="s">
        <v>624</v>
      </c>
      <c r="B498" t="s">
        <v>37</v>
      </c>
      <c r="C498" t="s">
        <v>625</v>
      </c>
      <c r="D498" t="s">
        <v>625</v>
      </c>
      <c r="E498">
        <v>1</v>
      </c>
      <c r="F498">
        <v>77.7864</v>
      </c>
      <c r="G498">
        <v>3</v>
      </c>
      <c r="H498">
        <v>0</v>
      </c>
      <c r="I498">
        <v>0</v>
      </c>
      <c r="J498" t="str">
        <f t="shared" si="21"/>
        <v>no usage/demand</v>
      </c>
      <c r="K498">
        <f t="shared" si="22"/>
        <v>3</v>
      </c>
      <c r="L498" s="1">
        <f t="shared" si="23"/>
        <v>77.7864</v>
      </c>
    </row>
    <row r="499" spans="1:12" x14ac:dyDescent="0.35">
      <c r="A499" t="s">
        <v>626</v>
      </c>
      <c r="B499" t="s">
        <v>290</v>
      </c>
      <c r="C499" t="s">
        <v>291</v>
      </c>
      <c r="D499" t="s">
        <v>291</v>
      </c>
      <c r="E499">
        <v>1</v>
      </c>
      <c r="F499">
        <v>74.951400000000007</v>
      </c>
      <c r="G499">
        <v>1</v>
      </c>
      <c r="H499">
        <v>0</v>
      </c>
      <c r="I499">
        <v>0</v>
      </c>
      <c r="J499" t="str">
        <f t="shared" si="21"/>
        <v>no usage/demand</v>
      </c>
      <c r="K499">
        <f t="shared" si="22"/>
        <v>1</v>
      </c>
      <c r="L499" s="1">
        <f t="shared" si="23"/>
        <v>74.951400000000007</v>
      </c>
    </row>
    <row r="500" spans="1:12" x14ac:dyDescent="0.35">
      <c r="A500" t="s">
        <v>627</v>
      </c>
      <c r="B500" t="s">
        <v>290</v>
      </c>
      <c r="C500" t="s">
        <v>291</v>
      </c>
      <c r="D500" t="s">
        <v>291</v>
      </c>
      <c r="E500">
        <v>1</v>
      </c>
      <c r="F500">
        <v>58.2</v>
      </c>
      <c r="G500">
        <v>2</v>
      </c>
      <c r="H500">
        <v>0</v>
      </c>
      <c r="I500">
        <v>0</v>
      </c>
      <c r="J500" t="str">
        <f t="shared" si="21"/>
        <v>no usage/demand</v>
      </c>
      <c r="K500">
        <f t="shared" si="22"/>
        <v>2</v>
      </c>
      <c r="L500" s="1">
        <f t="shared" si="23"/>
        <v>58.2</v>
      </c>
    </row>
    <row r="501" spans="1:12" x14ac:dyDescent="0.35">
      <c r="A501" t="s">
        <v>628</v>
      </c>
      <c r="B501" t="s">
        <v>290</v>
      </c>
      <c r="C501" t="s">
        <v>291</v>
      </c>
      <c r="D501" t="s">
        <v>291</v>
      </c>
      <c r="E501">
        <v>1</v>
      </c>
      <c r="F501">
        <v>52.997599999999998</v>
      </c>
      <c r="G501">
        <v>1</v>
      </c>
      <c r="H501">
        <v>0</v>
      </c>
      <c r="I501">
        <v>0</v>
      </c>
      <c r="J501" t="str">
        <f t="shared" si="21"/>
        <v>no usage/demand</v>
      </c>
      <c r="K501">
        <f t="shared" si="22"/>
        <v>1</v>
      </c>
      <c r="L501" s="1">
        <f t="shared" si="23"/>
        <v>52.997599999999998</v>
      </c>
    </row>
    <row r="502" spans="1:12" x14ac:dyDescent="0.35">
      <c r="A502" t="s">
        <v>629</v>
      </c>
      <c r="B502" t="s">
        <v>43</v>
      </c>
      <c r="C502" t="s">
        <v>281</v>
      </c>
      <c r="D502" t="s">
        <v>281</v>
      </c>
      <c r="E502">
        <v>1</v>
      </c>
      <c r="F502">
        <v>42.63</v>
      </c>
      <c r="G502">
        <v>10</v>
      </c>
      <c r="H502">
        <v>0</v>
      </c>
      <c r="I502">
        <v>0</v>
      </c>
      <c r="J502" t="str">
        <f t="shared" si="21"/>
        <v>no usage/demand</v>
      </c>
      <c r="K502">
        <f t="shared" si="22"/>
        <v>10</v>
      </c>
      <c r="L502" s="1">
        <f t="shared" si="23"/>
        <v>42.629999999999995</v>
      </c>
    </row>
    <row r="503" spans="1:12" x14ac:dyDescent="0.35">
      <c r="A503" t="s">
        <v>630</v>
      </c>
      <c r="B503" t="s">
        <v>110</v>
      </c>
      <c r="C503" t="s">
        <v>170</v>
      </c>
      <c r="D503" t="s">
        <v>444</v>
      </c>
      <c r="E503">
        <v>1</v>
      </c>
      <c r="F503">
        <v>24.748899999999999</v>
      </c>
      <c r="G503">
        <v>1</v>
      </c>
      <c r="H503">
        <v>0</v>
      </c>
      <c r="I503">
        <v>0</v>
      </c>
      <c r="J503" t="str">
        <f t="shared" si="21"/>
        <v>no usage/demand</v>
      </c>
      <c r="K503">
        <f t="shared" si="22"/>
        <v>1</v>
      </c>
      <c r="L503" s="1">
        <f t="shared" si="23"/>
        <v>24.748899999999999</v>
      </c>
    </row>
    <row r="504" spans="1:12" x14ac:dyDescent="0.35">
      <c r="A504" t="s">
        <v>631</v>
      </c>
      <c r="B504" t="s">
        <v>37</v>
      </c>
      <c r="C504" t="s">
        <v>230</v>
      </c>
      <c r="D504" t="s">
        <v>230</v>
      </c>
      <c r="E504">
        <v>1</v>
      </c>
      <c r="F504">
        <v>19.920400000000001</v>
      </c>
      <c r="G504">
        <v>2</v>
      </c>
      <c r="H504">
        <v>0</v>
      </c>
      <c r="I504">
        <v>0</v>
      </c>
      <c r="J504" t="str">
        <f t="shared" si="21"/>
        <v>no usage/demand</v>
      </c>
      <c r="K504">
        <f t="shared" si="22"/>
        <v>2</v>
      </c>
      <c r="L504" s="1">
        <f t="shared" si="23"/>
        <v>19.920400000000001</v>
      </c>
    </row>
    <row r="505" spans="1:12" x14ac:dyDescent="0.35">
      <c r="A505" t="s">
        <v>632</v>
      </c>
      <c r="B505" t="s">
        <v>43</v>
      </c>
      <c r="C505" t="s">
        <v>140</v>
      </c>
      <c r="D505" t="s">
        <v>140</v>
      </c>
      <c r="E505">
        <v>1</v>
      </c>
      <c r="F505">
        <v>75.926699999999997</v>
      </c>
      <c r="G505">
        <v>27</v>
      </c>
      <c r="H505">
        <v>1</v>
      </c>
      <c r="I505">
        <v>0</v>
      </c>
      <c r="J505">
        <f t="shared" si="21"/>
        <v>27</v>
      </c>
      <c r="K505">
        <f t="shared" si="22"/>
        <v>7</v>
      </c>
      <c r="L505" s="1">
        <f t="shared" si="23"/>
        <v>19.684699999999999</v>
      </c>
    </row>
    <row r="506" spans="1:12" x14ac:dyDescent="0.35">
      <c r="A506" t="s">
        <v>633</v>
      </c>
      <c r="B506" t="s">
        <v>37</v>
      </c>
      <c r="C506" t="s">
        <v>634</v>
      </c>
      <c r="D506" t="s">
        <v>634</v>
      </c>
      <c r="E506">
        <v>1</v>
      </c>
      <c r="F506">
        <v>15.6366</v>
      </c>
      <c r="G506">
        <v>1</v>
      </c>
      <c r="H506">
        <v>0</v>
      </c>
      <c r="I506">
        <v>0</v>
      </c>
      <c r="J506" t="str">
        <f t="shared" si="21"/>
        <v>no usage/demand</v>
      </c>
      <c r="K506">
        <f t="shared" si="22"/>
        <v>1</v>
      </c>
      <c r="L506" s="1">
        <f t="shared" si="23"/>
        <v>15.6366</v>
      </c>
    </row>
    <row r="507" spans="1:12" x14ac:dyDescent="0.35">
      <c r="A507" t="s">
        <v>415</v>
      </c>
      <c r="B507" t="s">
        <v>37</v>
      </c>
      <c r="C507" t="s">
        <v>230</v>
      </c>
      <c r="D507" t="s">
        <v>230</v>
      </c>
      <c r="E507">
        <v>1</v>
      </c>
      <c r="F507">
        <v>9.9864999999999995</v>
      </c>
      <c r="G507">
        <v>1</v>
      </c>
      <c r="H507">
        <v>0</v>
      </c>
      <c r="I507">
        <v>0</v>
      </c>
      <c r="J507" t="str">
        <f t="shared" si="21"/>
        <v>no usage/demand</v>
      </c>
      <c r="K507">
        <f t="shared" si="22"/>
        <v>1</v>
      </c>
      <c r="L507" s="1">
        <f t="shared" si="23"/>
        <v>9.9864999999999995</v>
      </c>
    </row>
    <row r="508" spans="1:12" x14ac:dyDescent="0.35">
      <c r="A508" t="s">
        <v>635</v>
      </c>
      <c r="B508" t="s">
        <v>100</v>
      </c>
      <c r="C508" t="s">
        <v>106</v>
      </c>
      <c r="D508" t="s">
        <v>106</v>
      </c>
      <c r="E508">
        <v>2</v>
      </c>
      <c r="F508">
        <v>16259.813200000001</v>
      </c>
      <c r="G508">
        <v>48</v>
      </c>
      <c r="H508">
        <v>0</v>
      </c>
      <c r="I508">
        <v>0.5</v>
      </c>
      <c r="J508">
        <f t="shared" si="21"/>
        <v>96</v>
      </c>
      <c r="K508">
        <f t="shared" si="22"/>
        <v>38</v>
      </c>
      <c r="L508" s="1">
        <f t="shared" si="23"/>
        <v>12872.352116666667</v>
      </c>
    </row>
    <row r="509" spans="1:12" x14ac:dyDescent="0.35">
      <c r="A509" t="s">
        <v>636</v>
      </c>
      <c r="B509" t="s">
        <v>43</v>
      </c>
      <c r="C509" t="s">
        <v>201</v>
      </c>
      <c r="D509" t="s">
        <v>201</v>
      </c>
      <c r="E509">
        <v>1</v>
      </c>
      <c r="F509">
        <v>7.1400000000000005E-2</v>
      </c>
      <c r="G509">
        <v>7</v>
      </c>
      <c r="H509">
        <v>0</v>
      </c>
      <c r="I509">
        <v>0</v>
      </c>
      <c r="J509" t="str">
        <f t="shared" si="21"/>
        <v>no usage/demand</v>
      </c>
      <c r="K509">
        <f t="shared" si="22"/>
        <v>7</v>
      </c>
      <c r="L509" s="1">
        <f t="shared" si="23"/>
        <v>7.1400000000000005E-2</v>
      </c>
    </row>
    <row r="510" spans="1:12" x14ac:dyDescent="0.35">
      <c r="A510" t="s">
        <v>637</v>
      </c>
      <c r="B510" t="s">
        <v>638</v>
      </c>
      <c r="C510" t="s">
        <v>639</v>
      </c>
      <c r="D510" t="s">
        <v>639</v>
      </c>
      <c r="E510">
        <v>2</v>
      </c>
      <c r="F510">
        <v>3984.8069999999998</v>
      </c>
      <c r="G510">
        <v>56</v>
      </c>
      <c r="H510">
        <v>0</v>
      </c>
      <c r="I510">
        <v>0.1</v>
      </c>
      <c r="J510">
        <f t="shared" si="21"/>
        <v>560</v>
      </c>
      <c r="K510">
        <f t="shared" si="22"/>
        <v>54</v>
      </c>
      <c r="L510" s="1">
        <f t="shared" si="23"/>
        <v>3842.492464285714</v>
      </c>
    </row>
  </sheetData>
  <autoFilter ref="A1:L51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tabSelected="1" workbookViewId="0">
      <pane ySplit="4" topLeftCell="A5" activePane="bottomLeft" state="frozen"/>
      <selection pane="bottomLeft" sqref="A1:D1"/>
    </sheetView>
  </sheetViews>
  <sheetFormatPr defaultRowHeight="14.5" x14ac:dyDescent="0.35"/>
  <cols>
    <col min="1" max="1" width="30" customWidth="1"/>
    <col min="2" max="2" width="20" customWidth="1"/>
    <col min="3" max="3" width="14" customWidth="1"/>
    <col min="4" max="4" width="10" customWidth="1"/>
  </cols>
  <sheetData>
    <row r="1" spans="1:4" ht="22" customHeight="1" x14ac:dyDescent="0.35">
      <c r="A1" s="16" t="s">
        <v>640</v>
      </c>
      <c r="B1" s="17"/>
      <c r="C1" s="17"/>
      <c r="D1" s="17"/>
    </row>
    <row r="2" spans="1:4" x14ac:dyDescent="0.35">
      <c r="A2" s="18" t="s">
        <v>641</v>
      </c>
      <c r="B2" s="17"/>
      <c r="C2" s="17"/>
      <c r="D2" s="17"/>
    </row>
    <row r="4" spans="1:4" ht="32" customHeight="1" x14ac:dyDescent="0.35">
      <c r="A4" s="3" t="s">
        <v>642</v>
      </c>
      <c r="B4" s="3" t="s">
        <v>643</v>
      </c>
      <c r="C4" s="3" t="s">
        <v>644</v>
      </c>
      <c r="D4" s="3" t="s">
        <v>645</v>
      </c>
    </row>
    <row r="5" spans="1:4" x14ac:dyDescent="0.35">
      <c r="A5" s="4" t="s">
        <v>13</v>
      </c>
      <c r="B5" s="5">
        <v>996757.41</v>
      </c>
      <c r="C5" s="6">
        <v>0.26700000000000002</v>
      </c>
      <c r="D5" s="7">
        <v>2</v>
      </c>
    </row>
    <row r="6" spans="1:4" x14ac:dyDescent="0.35">
      <c r="A6" s="8" t="s">
        <v>22</v>
      </c>
      <c r="B6" s="9">
        <v>981610.75</v>
      </c>
      <c r="C6" s="10">
        <v>0.26300000000000001</v>
      </c>
      <c r="D6" s="11">
        <v>238</v>
      </c>
    </row>
    <row r="7" spans="1:4" x14ac:dyDescent="0.35">
      <c r="A7" s="4" t="s">
        <v>16</v>
      </c>
      <c r="B7" s="5">
        <v>602084.78</v>
      </c>
      <c r="C7" s="6">
        <v>0.1613</v>
      </c>
      <c r="D7" s="7">
        <v>52</v>
      </c>
    </row>
    <row r="8" spans="1:4" x14ac:dyDescent="0.35">
      <c r="A8" s="8" t="s">
        <v>37</v>
      </c>
      <c r="B8" s="9">
        <v>272130.83</v>
      </c>
      <c r="C8" s="10">
        <v>7.2900000000000006E-2</v>
      </c>
      <c r="D8" s="11">
        <v>64</v>
      </c>
    </row>
    <row r="9" spans="1:4" x14ac:dyDescent="0.35">
      <c r="A9" s="4" t="s">
        <v>40</v>
      </c>
      <c r="B9" s="5">
        <v>246779.75</v>
      </c>
      <c r="C9" s="6">
        <v>6.6100000000000006E-2</v>
      </c>
      <c r="D9" s="7">
        <v>29</v>
      </c>
    </row>
    <row r="10" spans="1:4" x14ac:dyDescent="0.35">
      <c r="A10" s="8" t="s">
        <v>43</v>
      </c>
      <c r="B10" s="9">
        <v>185310</v>
      </c>
      <c r="C10" s="10">
        <v>4.9599999999999998E-2</v>
      </c>
      <c r="D10" s="11">
        <v>35</v>
      </c>
    </row>
    <row r="11" spans="1:4" x14ac:dyDescent="0.35">
      <c r="A11" s="4" t="s">
        <v>19</v>
      </c>
      <c r="B11" s="5">
        <v>140801.32</v>
      </c>
      <c r="C11" s="6">
        <v>3.7699999999999997E-2</v>
      </c>
      <c r="D11" s="7">
        <v>6</v>
      </c>
    </row>
    <row r="12" spans="1:4" x14ac:dyDescent="0.35">
      <c r="A12" s="8" t="s">
        <v>100</v>
      </c>
      <c r="B12" s="9">
        <v>87600.48</v>
      </c>
      <c r="C12" s="10">
        <v>2.35E-2</v>
      </c>
      <c r="D12" s="11">
        <v>7</v>
      </c>
    </row>
    <row r="13" spans="1:4" x14ac:dyDescent="0.35">
      <c r="A13" s="4" t="s">
        <v>88</v>
      </c>
      <c r="B13" s="5">
        <v>61168.7</v>
      </c>
      <c r="C13" s="6">
        <v>1.6400000000000001E-2</v>
      </c>
      <c r="D13" s="7">
        <v>23</v>
      </c>
    </row>
    <row r="14" spans="1:4" x14ac:dyDescent="0.35">
      <c r="A14" s="8" t="s">
        <v>31</v>
      </c>
      <c r="B14" s="9">
        <v>44871.63</v>
      </c>
      <c r="C14" s="10">
        <v>1.2E-2</v>
      </c>
      <c r="D14" s="11">
        <v>1</v>
      </c>
    </row>
    <row r="15" spans="1:4" x14ac:dyDescent="0.35">
      <c r="A15" s="4" t="s">
        <v>110</v>
      </c>
      <c r="B15" s="5">
        <v>40529.78</v>
      </c>
      <c r="C15" s="6">
        <v>1.09E-2</v>
      </c>
      <c r="D15" s="7">
        <v>14</v>
      </c>
    </row>
    <row r="16" spans="1:4" x14ac:dyDescent="0.35">
      <c r="A16" s="8" t="s">
        <v>81</v>
      </c>
      <c r="B16" s="9">
        <v>24336.54</v>
      </c>
      <c r="C16" s="10">
        <v>6.4999999999999997E-3</v>
      </c>
      <c r="D16" s="11">
        <v>3</v>
      </c>
    </row>
    <row r="17" spans="1:4" x14ac:dyDescent="0.35">
      <c r="A17" s="4" t="s">
        <v>150</v>
      </c>
      <c r="B17" s="5">
        <v>17786.12</v>
      </c>
      <c r="C17" s="6">
        <v>4.7999999999999996E-3</v>
      </c>
      <c r="D17" s="7">
        <v>10</v>
      </c>
    </row>
    <row r="18" spans="1:4" x14ac:dyDescent="0.35">
      <c r="A18" s="8" t="s">
        <v>161</v>
      </c>
      <c r="B18" s="9">
        <v>15628.66</v>
      </c>
      <c r="C18" s="10">
        <v>4.1999999999999997E-3</v>
      </c>
      <c r="D18" s="11">
        <v>8</v>
      </c>
    </row>
    <row r="19" spans="1:4" x14ac:dyDescent="0.35">
      <c r="A19" s="4" t="s">
        <v>290</v>
      </c>
      <c r="B19" s="5">
        <v>6338.01</v>
      </c>
      <c r="C19" s="6">
        <v>1.6999999999999999E-3</v>
      </c>
      <c r="D19" s="7">
        <v>9</v>
      </c>
    </row>
    <row r="20" spans="1:4" x14ac:dyDescent="0.35">
      <c r="A20" s="8" t="s">
        <v>638</v>
      </c>
      <c r="B20" s="9">
        <v>3842.49</v>
      </c>
      <c r="C20" s="10">
        <v>1E-3</v>
      </c>
      <c r="D20" s="11">
        <v>1</v>
      </c>
    </row>
    <row r="21" spans="1:4" x14ac:dyDescent="0.35">
      <c r="A21" s="4" t="s">
        <v>320</v>
      </c>
      <c r="B21" s="5">
        <v>2332.73</v>
      </c>
      <c r="C21" s="6">
        <v>5.9999999999999995E-4</v>
      </c>
      <c r="D21" s="7">
        <v>2</v>
      </c>
    </row>
    <row r="22" spans="1:4" x14ac:dyDescent="0.35">
      <c r="A22" s="8" t="s">
        <v>364</v>
      </c>
      <c r="B22" s="9">
        <v>1878.31</v>
      </c>
      <c r="C22" s="10">
        <v>5.0000000000000001E-4</v>
      </c>
      <c r="D22" s="11">
        <v>1</v>
      </c>
    </row>
    <row r="23" spans="1:4" x14ac:dyDescent="0.35">
      <c r="A23" s="4" t="s">
        <v>593</v>
      </c>
      <c r="B23" s="5">
        <v>579.34</v>
      </c>
      <c r="C23" s="6">
        <v>2.0000000000000001E-4</v>
      </c>
      <c r="D23" s="7">
        <v>3</v>
      </c>
    </row>
    <row r="24" spans="1:4" x14ac:dyDescent="0.35">
      <c r="A24" s="8" t="s">
        <v>585</v>
      </c>
      <c r="B24" s="9">
        <v>309.75</v>
      </c>
      <c r="C24" s="10">
        <v>1E-4</v>
      </c>
      <c r="D24" s="11">
        <v>1</v>
      </c>
    </row>
    <row r="25" spans="1:4" x14ac:dyDescent="0.35">
      <c r="A25" s="12" t="s">
        <v>646</v>
      </c>
      <c r="B25" s="13">
        <v>3732677.39</v>
      </c>
      <c r="C25" s="14">
        <v>1</v>
      </c>
      <c r="D25" s="15">
        <v>509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Details</vt:lpstr>
      <vt:lpstr>Summary by RPH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Frost, William</dc:creator>
  <cp:lastModifiedBy>Calefi dias, Hugo</cp:lastModifiedBy>
  <dcterms:created xsi:type="dcterms:W3CDTF">2026-03-17T12:14:36Z</dcterms:created>
  <dcterms:modified xsi:type="dcterms:W3CDTF">2026-03-24T19:36:16Z</dcterms:modified>
</cp:coreProperties>
</file>