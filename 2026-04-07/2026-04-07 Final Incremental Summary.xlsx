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By Country" sheetId="2" state="visible" r:id="rId4"/>
    <sheet name="MTS — By Account" sheetId="3" state="visible" r:id="rId5"/>
    <sheet name="Aging — By Accoun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<sst xmlns="http://schemas.openxmlformats.org/spreadsheetml/2006/main" count="1220" uniqueCount="360">
  <si>
    <t xml:space="preserve">FY26 Q4 — FINAL INCREMENTAL INVENTORY SUMMARY</t>
  </si>
  <si>
    <t xml:space="preserve">Consolidated: MTS Inventory  +  Aging Inventory   |   Period: 2026-03-31  →  2026-04-07</t>
  </si>
  <si>
    <t xml:space="preserve">COMBINED KEY METRICS</t>
  </si>
  <si>
    <t xml:space="preserve">Report</t>
  </si>
  <si>
    <t xml:space="preserve">2026-03-31 ($)</t>
  </si>
  <si>
    <t xml:space="preserve">2026-04-07 ($)</t>
  </si>
  <si>
    <t xml:space="preserve">Change ($)</t>
  </si>
  <si>
    <t xml:space="preserve">% Change</t>
  </si>
  <si>
    <t xml:space="preserve">MTS Inventory (Stock on Hand)</t>
  </si>
  <si>
    <t xml:space="preserve">Aging Inventory</t>
  </si>
  <si>
    <t xml:space="preserve">COMBINED TOTAL</t>
  </si>
  <si>
    <t xml:space="preserve">ACCOUNT STATUS — MTS INVENTORY</t>
  </si>
  <si>
    <t xml:space="preserve">Status</t>
  </si>
  <si>
    <t xml:space="preserve"># Accounts</t>
  </si>
  <si>
    <t xml:space="preserve">Increased</t>
  </si>
  <si>
    <t xml:space="preserve">Decreased</t>
  </si>
  <si>
    <t xml:space="preserve">New Account</t>
  </si>
  <si>
    <t xml:space="preserve">Removed</t>
  </si>
  <si>
    <t xml:space="preserve">No Change</t>
  </si>
  <si>
    <t xml:space="preserve">ACCOUNT STATUS — AGING INVENTORY</t>
  </si>
  <si>
    <t xml:space="preserve">INCREMENTAL CHANGES BY COUNTRY — COMBINED VIEW</t>
  </si>
  <si>
    <t xml:space="preserve">Left: MTS Inventory   |   Right: Aging Inventory   |   2026-03-31 → 2026-04-07</t>
  </si>
  <si>
    <t xml:space="preserve">MTS INVENTORY — BY COUNTRY</t>
  </si>
  <si>
    <t xml:space="preserve">AGING INVENTORY — BY COUNTRY</t>
  </si>
  <si>
    <t xml:space="preserve">Country</t>
  </si>
  <si>
    <t xml:space="preserve">SOH 03-31 ($)</t>
  </si>
  <si>
    <t xml:space="preserve">SOH 04-07 ($)</t>
  </si>
  <si>
    <t xml:space="preserve">Total 03-31 ($)</t>
  </si>
  <si>
    <t xml:space="preserve">Total 04-07 ($)</t>
  </si>
  <si>
    <t xml:space="preserve">+ES</t>
  </si>
  <si>
    <t xml:space="preserve">Slovenia</t>
  </si>
  <si>
    <t xml:space="preserve">N/A</t>
  </si>
  <si>
    <t xml:space="preserve">+DK</t>
  </si>
  <si>
    <t xml:space="preserve">Austria</t>
  </si>
  <si>
    <t xml:space="preserve">+PL</t>
  </si>
  <si>
    <t xml:space="preserve">Israel</t>
  </si>
  <si>
    <t xml:space="preserve">+GB</t>
  </si>
  <si>
    <t xml:space="preserve">Latvia</t>
  </si>
  <si>
    <t xml:space="preserve">+PT</t>
  </si>
  <si>
    <t xml:space="preserve">Portugal</t>
  </si>
  <si>
    <t xml:space="preserve">+IT</t>
  </si>
  <si>
    <t xml:space="preserve">France</t>
  </si>
  <si>
    <t xml:space="preserve">+FI</t>
  </si>
  <si>
    <t xml:space="preserve">Italy</t>
  </si>
  <si>
    <t xml:space="preserve">+SE</t>
  </si>
  <si>
    <t xml:space="preserve">Norway</t>
  </si>
  <si>
    <t xml:space="preserve">-USCEM</t>
  </si>
  <si>
    <t xml:space="preserve">CEM</t>
  </si>
  <si>
    <t xml:space="preserve">+IE</t>
  </si>
  <si>
    <t xml:space="preserve">Switzerland</t>
  </si>
  <si>
    <t xml:space="preserve">+CH</t>
  </si>
  <si>
    <t xml:space="preserve">Ireland</t>
  </si>
  <si>
    <t xml:space="preserve">+DE</t>
  </si>
  <si>
    <t xml:space="preserve">South Africa</t>
  </si>
  <si>
    <t xml:space="preserve">Germany</t>
  </si>
  <si>
    <t xml:space="preserve">+BE</t>
  </si>
  <si>
    <t xml:space="preserve">Finland</t>
  </si>
  <si>
    <t xml:space="preserve">+NL</t>
  </si>
  <si>
    <t xml:space="preserve">Belgium</t>
  </si>
  <si>
    <t xml:space="preserve">USCEM</t>
  </si>
  <si>
    <t xml:space="preserve">Lithuania</t>
  </si>
  <si>
    <t xml:space="preserve">UK</t>
  </si>
  <si>
    <t xml:space="preserve">Sweden</t>
  </si>
  <si>
    <t xml:space="preserve">UAE</t>
  </si>
  <si>
    <t xml:space="preserve">Netherlands</t>
  </si>
  <si>
    <t xml:space="preserve">Spain</t>
  </si>
  <si>
    <t xml:space="preserve">Denmark</t>
  </si>
  <si>
    <t xml:space="preserve">Poland</t>
  </si>
  <si>
    <t xml:space="preserve">GRAND TOTAL</t>
  </si>
  <si>
    <t xml:space="preserve">MTS INVENTORY — INCREMENTAL CHANGES BY ACCOUNT</t>
  </si>
  <si>
    <t xml:space="preserve">Stock on Hand: 2026-03-31  →  2026-04-07</t>
  </si>
  <si>
    <t xml:space="preserve">Account</t>
  </si>
  <si>
    <t xml:space="preserve">Owner Name</t>
  </si>
  <si>
    <t xml:space="preserve">CHU De Liège - Site du Sart Tilman</t>
  </si>
  <si>
    <t xml:space="preserve">Stanislas Laval</t>
  </si>
  <si>
    <t xml:space="preserve">CH Regional de la Citadelle</t>
  </si>
  <si>
    <t xml:space="preserve">HFR Fribourg</t>
  </si>
  <si>
    <t xml:space="preserve">Julie Berbey</t>
  </si>
  <si>
    <t xml:space="preserve">Spital Limmattal</t>
  </si>
  <si>
    <t xml:space="preserve">Mario Grieco</t>
  </si>
  <si>
    <t xml:space="preserve">Krankenhaus St. Elisabeth gGmbH</t>
  </si>
  <si>
    <t xml:space="preserve">Frank Heijdra</t>
  </si>
  <si>
    <t xml:space="preserve">Odense Universitetshospital</t>
  </si>
  <si>
    <t xml:space="preserve">Stig Caldron</t>
  </si>
  <si>
    <t xml:space="preserve">Aleris-Hamlet Aarhus</t>
  </si>
  <si>
    <t xml:space="preserve">Dorte Duus</t>
  </si>
  <si>
    <t xml:space="preserve">Sydvestjysk Sygehus Esbjerg</t>
  </si>
  <si>
    <t xml:space="preserve">Privathospitalet Mølholm</t>
  </si>
  <si>
    <t xml:space="preserve">Region Sjaelland, Sjællands</t>
  </si>
  <si>
    <t xml:space="preserve">CONSORCIO HOSPITAL GENERAL U.</t>
  </si>
  <si>
    <t xml:space="preserve">Alvaro Ferrandis</t>
  </si>
  <si>
    <t xml:space="preserve">ESPECIALIZADA Y PRIMARIA L'HORTA</t>
  </si>
  <si>
    <t xml:space="preserve">Sara Peralta</t>
  </si>
  <si>
    <t xml:space="preserve">VITHAS LAS PALMAS</t>
  </si>
  <si>
    <t xml:space="preserve">Daniel Orozco</t>
  </si>
  <si>
    <t xml:space="preserve">GERENCIA AREA DE SALUD DE PLASENCIA</t>
  </si>
  <si>
    <t xml:space="preserve">Javier Pijierro Sa</t>
  </si>
  <si>
    <t xml:space="preserve">HOSPITAL RAMON Y CAJAL</t>
  </si>
  <si>
    <t xml:space="preserve">Cristina Herrera</t>
  </si>
  <si>
    <t xml:space="preserve">HOSPITAL TORRECARDENAS</t>
  </si>
  <si>
    <t xml:space="preserve">@EOXI - A CORUÑA</t>
  </si>
  <si>
    <t xml:space="preserve">Maria Soledad Alasia</t>
  </si>
  <si>
    <t xml:space="preserve">HOSPITAL CLÍNIC DE BARCELONA</t>
  </si>
  <si>
    <t xml:space="preserve">Marta Lopez</t>
  </si>
  <si>
    <t xml:space="preserve">@MUTUA DE TERRASSA</t>
  </si>
  <si>
    <t xml:space="preserve">CHUB</t>
  </si>
  <si>
    <t xml:space="preserve">CIMA (Centro Int.Medicina Avanzada)</t>
  </si>
  <si>
    <t xml:space="preserve">CLINICA VISTAHERMOSA</t>
  </si>
  <si>
    <t xml:space="preserve">COMPLEJO HOSPITALARIO DE CÁCERES</t>
  </si>
  <si>
    <t xml:space="preserve">Daniel Caparros</t>
  </si>
  <si>
    <t xml:space="preserve">COMPLEJO HOSPITALARIO SAN PEDRO</t>
  </si>
  <si>
    <t xml:space="preserve">Javier El Busto Ganuza</t>
  </si>
  <si>
    <t xml:space="preserve">FUNDACIÓ ASSISTENCIAL</t>
  </si>
  <si>
    <t xml:space="preserve">GERENCIA AREA SALUD MERIDA</t>
  </si>
  <si>
    <t xml:space="preserve">GERENCIA DE AREA DE SALUD</t>
  </si>
  <si>
    <t xml:space="preserve">Gema Luque</t>
  </si>
  <si>
    <t xml:space="preserve">HOSPITAL CASA DE SALUD</t>
  </si>
  <si>
    <t xml:space="preserve">Gerino García Zabarte</t>
  </si>
  <si>
    <t xml:space="preserve">HOSPITAL COMARCAL DE INCA</t>
  </si>
  <si>
    <t xml:space="preserve">Jose Manuel Comas</t>
  </si>
  <si>
    <t xml:space="preserve">HOSPITAL FRANCESC DE BORJA</t>
  </si>
  <si>
    <t xml:space="preserve">Maria Victoria Valero Rubio</t>
  </si>
  <si>
    <t xml:space="preserve">HOSPITAL INFANTA ELENA HUELVA</t>
  </si>
  <si>
    <t xml:space="preserve">HOSPITAL Nª Sª DE VALME</t>
  </si>
  <si>
    <t xml:space="preserve">HOSPITAL S.V.S. MARINA BAIXA</t>
  </si>
  <si>
    <t xml:space="preserve">HOSPITAL U DE GETAFE</t>
  </si>
  <si>
    <t xml:space="preserve">Oscar Sampedro</t>
  </si>
  <si>
    <t xml:space="preserve">HOSPITAL U. Ntra. Sª DE CANDELARIA</t>
  </si>
  <si>
    <t xml:space="preserve">HOSPITALES U. VIRGEN DEL ROCIO</t>
  </si>
  <si>
    <t xml:space="preserve">MARINA SALUD, S.A.</t>
  </si>
  <si>
    <t xml:space="preserve">HOSPITAL U. SON ESPASES</t>
  </si>
  <si>
    <t xml:space="preserve">HUS-Logistiikka</t>
  </si>
  <si>
    <t xml:space="preserve">Mari Luojumäki</t>
  </si>
  <si>
    <t xml:space="preserve">Satasairaala</t>
  </si>
  <si>
    <t xml:space="preserve">Marko Perttula</t>
  </si>
  <si>
    <t xml:space="preserve">Transform - Pines Hospital</t>
  </si>
  <si>
    <t xml:space="preserve">Parniyan Naibkhill</t>
  </si>
  <si>
    <t xml:space="preserve">Circle The Alexandra Hospital (ALX</t>
  </si>
  <si>
    <t xml:space="preserve">Sarah Russell</t>
  </si>
  <si>
    <t xml:space="preserve">St Vincents University Hospital</t>
  </si>
  <si>
    <t xml:space="preserve">Clare Molloy</t>
  </si>
  <si>
    <t xml:space="preserve">Kronosan S.R.L.</t>
  </si>
  <si>
    <t xml:space="preserve">Arianna Silvani</t>
  </si>
  <si>
    <t xml:space="preserve">Humanitas Mirasole Spa</t>
  </si>
  <si>
    <t xml:space="preserve">CdC Multimedica - Sesto S.Giovanni</t>
  </si>
  <si>
    <t xml:space="preserve">Marianna Biondo</t>
  </si>
  <si>
    <t xml:space="preserve">Distretto Di Reggio Emilia</t>
  </si>
  <si>
    <t xml:space="preserve">Mariapaola Oliviero</t>
  </si>
  <si>
    <t xml:space="preserve">Policlinico San Marco Srl</t>
  </si>
  <si>
    <t xml:space="preserve">Paolo Rebuzzini</t>
  </si>
  <si>
    <t xml:space="preserve">St. Antonius Ziekenhuis Nieuwegein</t>
  </si>
  <si>
    <t xml:space="preserve">Sebastiaan Rijthoven</t>
  </si>
  <si>
    <t xml:space="preserve">Rivierenland Ziekenhuis</t>
  </si>
  <si>
    <t xml:space="preserve">Ingrid Westerik - Dakhorst</t>
  </si>
  <si>
    <t xml:space="preserve">Stichting Flevoziekenhuis</t>
  </si>
  <si>
    <t xml:space="preserve">Bas Besamusca</t>
  </si>
  <si>
    <t xml:space="preserve">Spaarne Gasthuis</t>
  </si>
  <si>
    <t xml:space="preserve">Catharina Ziekenhuis</t>
  </si>
  <si>
    <t xml:space="preserve">Ilse Albers</t>
  </si>
  <si>
    <t xml:space="preserve">Miejski Szpital Zespolony</t>
  </si>
  <si>
    <t xml:space="preserve">Michal Dziubak</t>
  </si>
  <si>
    <t xml:space="preserve">Mazowiecki Szpital Specjalistyczny</t>
  </si>
  <si>
    <t xml:space="preserve">Celina Lorenc-Zareba</t>
  </si>
  <si>
    <t xml:space="preserve">Uniwersyteckie Centrum Kliniczne</t>
  </si>
  <si>
    <t xml:space="preserve">Rafal Wisniewski</t>
  </si>
  <si>
    <t xml:space="preserve">Wielkopolskie Centrum Pulmonologii</t>
  </si>
  <si>
    <t xml:space="preserve">Dominik Kuzma</t>
  </si>
  <si>
    <t xml:space="preserve">Uniwersytecki Szpital Kliniczny</t>
  </si>
  <si>
    <t xml:space="preserve">Kamila Szkolnicka</t>
  </si>
  <si>
    <t xml:space="preserve">Dolnośląskie Centrum Onkologii,</t>
  </si>
  <si>
    <t xml:space="preserve">Maciej Cwynar</t>
  </si>
  <si>
    <t xml:space="preserve">Szpital Uniwersytecki Nr 2</t>
  </si>
  <si>
    <t xml:space="preserve">Regionalny Szpital Specjalistyczny</t>
  </si>
  <si>
    <t xml:space="preserve">SPSK im. prof. W. Orłowskiego</t>
  </si>
  <si>
    <t xml:space="preserve">Michal Zebrowski</t>
  </si>
  <si>
    <t xml:space="preserve">Samodzielny Publiczny Wojewódzki</t>
  </si>
  <si>
    <t xml:space="preserve">Beata Kochanska</t>
  </si>
  <si>
    <t xml:space="preserve">Specjalistyczne Centrum Medyczne</t>
  </si>
  <si>
    <t xml:space="preserve">Lukasz Wlizlo</t>
  </si>
  <si>
    <t xml:space="preserve">Szpital Uniwersytecki im. Karola</t>
  </si>
  <si>
    <t xml:space="preserve">Agnieszka Augustyniak</t>
  </si>
  <si>
    <t xml:space="preserve">Wielospecjalistyczny Szpital SPZOZ</t>
  </si>
  <si>
    <t xml:space="preserve">Wojewódzki Szpital Specjalistyczny</t>
  </si>
  <si>
    <t xml:space="preserve">Wojskowy Instytut Medyczny</t>
  </si>
  <si>
    <t xml:space="preserve">Marek Ostrowski</t>
  </si>
  <si>
    <t xml:space="preserve">Szpital Uniwersytecki w Krakowie</t>
  </si>
  <si>
    <t xml:space="preserve">|ULS Entre Douro e Vouga, EPE</t>
  </si>
  <si>
    <t xml:space="preserve">Filipe Oliveira</t>
  </si>
  <si>
    <t xml:space="preserve">S. S. REGIÃO AUTÓNOMA MADEIRA, EPE</t>
  </si>
  <si>
    <t xml:space="preserve">Andre Oliveira</t>
  </si>
  <si>
    <t xml:space="preserve">ULS São João, EPE</t>
  </si>
  <si>
    <t xml:space="preserve">ULS Viseu Dão/Lafões, EPE</t>
  </si>
  <si>
    <t xml:space="preserve">Filipa Lopes de Almeida Guimarães Serôdio</t>
  </si>
  <si>
    <t xml:space="preserve">FUNDACAO CHAMPALIMAUD</t>
  </si>
  <si>
    <t xml:space="preserve">Artur Jorge Mendes</t>
  </si>
  <si>
    <t xml:space="preserve">ULS Matosinhos EPE</t>
  </si>
  <si>
    <t xml:space="preserve">|ULS Alto Ave, EPE</t>
  </si>
  <si>
    <t xml:space="preserve">@HOSPITAL DA PRELADA</t>
  </si>
  <si>
    <t xml:space="preserve">GB Obesitas Skåne AB</t>
  </si>
  <si>
    <t xml:space="preserve">Maria Senyk</t>
  </si>
  <si>
    <t xml:space="preserve">Marienhospital Aachen GmbH</t>
  </si>
  <si>
    <t xml:space="preserve">AGING INVENTORY — INCREMENTAL CHANGES BY ACCOUNT</t>
  </si>
  <si>
    <t xml:space="preserve">Total $ comparison: 2026-03-31  →  2026-04-07</t>
  </si>
  <si>
    <t xml:space="preserve">Kit Owner</t>
  </si>
  <si>
    <t xml:space="preserve">Sales Rep Manager</t>
  </si>
  <si>
    <t xml:space="preserve">Mag Sabine Freysinger</t>
  </si>
  <si>
    <t xml:space="preserve">Siegrid Wanilian</t>
  </si>
  <si>
    <t xml:space="preserve">Helga Cornelia Dos Santos Carneiro</t>
  </si>
  <si>
    <t xml:space="preserve">Tierarztpraxis BW GmbH</t>
  </si>
  <si>
    <t xml:space="preserve">LKH Rohrbach</t>
  </si>
  <si>
    <t xml:space="preserve">(blank)</t>
  </si>
  <si>
    <t xml:space="preserve">HUmani - site André Vésale</t>
  </si>
  <si>
    <t xml:space="preserve">Cédric Guillaume</t>
  </si>
  <si>
    <t xml:space="preserve">Daniel Warnier</t>
  </si>
  <si>
    <t xml:space="preserve">CH EPICURA ASBL - Site de Hornu</t>
  </si>
  <si>
    <t xml:space="preserve">Clinique Notre Dame De Grace</t>
  </si>
  <si>
    <t xml:space="preserve">Urszula Pawelec-Zuchowska</t>
  </si>
  <si>
    <t xml:space="preserve">Aleksandra Szczepaniec</t>
  </si>
  <si>
    <t xml:space="preserve">Clinique St Jean-Site Botanique</t>
  </si>
  <si>
    <t xml:space="preserve">Albert Poisson</t>
  </si>
  <si>
    <t xml:space="preserve">AZ Sint-Jan Brugge AV</t>
  </si>
  <si>
    <t xml:space="preserve">Ann Vande Velde</t>
  </si>
  <si>
    <t xml:space="preserve">Yeter Simsek</t>
  </si>
  <si>
    <t xml:space="preserve">#Århus Universitetshospital, Skejby</t>
  </si>
  <si>
    <t xml:space="preserve">Jens Ravn</t>
  </si>
  <si>
    <t xml:space="preserve">Jesper Hansen</t>
  </si>
  <si>
    <t xml:space="preserve">Aarhus Universitetshospital</t>
  </si>
  <si>
    <t xml:space="preserve">Keski-Pohjanmaan hyvinvointialue</t>
  </si>
  <si>
    <t xml:space="preserve">Jukka Luukinen</t>
  </si>
  <si>
    <t xml:space="preserve">Sari Tuominen</t>
  </si>
  <si>
    <t xml:space="preserve">Pohjois-Savon hyvinvointialue</t>
  </si>
  <si>
    <t xml:space="preserve">Henry Turkulainen</t>
  </si>
  <si>
    <t xml:space="preserve">CHRU Lille</t>
  </si>
  <si>
    <t xml:space="preserve">Vincent Messiac</t>
  </si>
  <si>
    <t xml:space="preserve">Jeremy De Backer</t>
  </si>
  <si>
    <t xml:space="preserve">CHU Bordeaux</t>
  </si>
  <si>
    <t xml:space="preserve">Agaplesion Diakonieklinikum Hamburg</t>
  </si>
  <si>
    <t xml:space="preserve">Dejan Bogdanovic</t>
  </si>
  <si>
    <t xml:space="preserve">Esra Karakas</t>
  </si>
  <si>
    <t xml:space="preserve">DGD Krankenhaus Sachsenhausen gGmbH</t>
  </si>
  <si>
    <t xml:space="preserve">Janine Botsch</t>
  </si>
  <si>
    <t xml:space="preserve">Maurice Lenssen</t>
  </si>
  <si>
    <t xml:space="preserve">Klinikum Lippe-Detmold</t>
  </si>
  <si>
    <t xml:space="preserve">Peer Schaetzler</t>
  </si>
  <si>
    <t xml:space="preserve">Ozgur Yurduozler</t>
  </si>
  <si>
    <t xml:space="preserve">Altmark-Klinikum gGmbH</t>
  </si>
  <si>
    <t xml:space="preserve">Grit Rudolf</t>
  </si>
  <si>
    <t xml:space="preserve">Lars Huebner</t>
  </si>
  <si>
    <t xml:space="preserve">GPR Klinikum Rüsselsheim gGmbH</t>
  </si>
  <si>
    <t xml:space="preserve">Britta Stanek</t>
  </si>
  <si>
    <t xml:space="preserve">Ludger Gerdes</t>
  </si>
  <si>
    <t xml:space="preserve">Klinikum Oberberg GmbH</t>
  </si>
  <si>
    <t xml:space="preserve">Martin Kriska</t>
  </si>
  <si>
    <t xml:space="preserve">Barbara Hermann</t>
  </si>
  <si>
    <t xml:space="preserve">Hugo Calefi Dias</t>
  </si>
  <si>
    <t xml:space="preserve">ALB FILS KLINIKUM GmbH</t>
  </si>
  <si>
    <t xml:space="preserve">Jens Quaiser</t>
  </si>
  <si>
    <t xml:space="preserve">Samuel Tum</t>
  </si>
  <si>
    <t xml:space="preserve">Olivia Wit</t>
  </si>
  <si>
    <t xml:space="preserve">St John's Hospital - Limerick</t>
  </si>
  <si>
    <t xml:space="preserve">Cillian Duff</t>
  </si>
  <si>
    <t xml:space="preserve">Naomi Clear</t>
  </si>
  <si>
    <t xml:space="preserve">AOU UNIV. LUIGI VANVITELLI</t>
  </si>
  <si>
    <t xml:space="preserve">Eugenia Maria Bruno</t>
  </si>
  <si>
    <t xml:space="preserve">Lucio Carbone</t>
  </si>
  <si>
    <t xml:space="preserve">ASST Niguarda</t>
  </si>
  <si>
    <t xml:space="preserve">Luca Isolini</t>
  </si>
  <si>
    <t xml:space="preserve">Casa di Cura Abano Terme</t>
  </si>
  <si>
    <t xml:space="preserve">Salvatore Sorrenti</t>
  </si>
  <si>
    <t xml:space="preserve">Policlinico San Donato S.P.A.</t>
  </si>
  <si>
    <t xml:space="preserve">AB Technology Corporation</t>
  </si>
  <si>
    <t xml:space="preserve">Margus Laanesaar</t>
  </si>
  <si>
    <t xml:space="preserve">Julija Gara</t>
  </si>
  <si>
    <t xml:space="preserve">Aiwa Clinic, SIA</t>
  </si>
  <si>
    <t xml:space="preserve">Tuberkul. un plaušu slim. centrs</t>
  </si>
  <si>
    <t xml:space="preserve">LSMUL Kauno Klinikos</t>
  </si>
  <si>
    <t xml:space="preserve">Weight Works</t>
  </si>
  <si>
    <t xml:space="preserve">Jeroen Reijers</t>
  </si>
  <si>
    <t xml:space="preserve">Jan Osch</t>
  </si>
  <si>
    <t xml:space="preserve">Fredrik Persson</t>
  </si>
  <si>
    <t xml:space="preserve">Sander Weetink</t>
  </si>
  <si>
    <t xml:space="preserve">Voss Sykehus</t>
  </si>
  <si>
    <t xml:space="preserve">Robert Hernes</t>
  </si>
  <si>
    <t xml:space="preserve">Håkon Wennberg</t>
  </si>
  <si>
    <t xml:space="preserve">MEDICUS Sp. z o. o.</t>
  </si>
  <si>
    <t xml:space="preserve">Bartosz Waclawski</t>
  </si>
  <si>
    <t xml:space="preserve">Marcin Zielinski</t>
  </si>
  <si>
    <t xml:space="preserve">Nowy Szpital w Kostrzynie</t>
  </si>
  <si>
    <t xml:space="preserve">SPZOZ Centralny Szpital Kliniczny</t>
  </si>
  <si>
    <t xml:space="preserve">Elzbieta Pelc-Jaczewska</t>
  </si>
  <si>
    <t xml:space="preserve">Szpital Specjalistyczny</t>
  </si>
  <si>
    <t xml:space="preserve">Marek Aleksander Guzowski</t>
  </si>
  <si>
    <t xml:space="preserve">Adam Kozuch</t>
  </si>
  <si>
    <t xml:space="preserve">Uniwersytecki Szpital</t>
  </si>
  <si>
    <t xml:space="preserve">Oskar Drabik</t>
  </si>
  <si>
    <t xml:space="preserve">Wielospecjalistyczny Szpital</t>
  </si>
  <si>
    <t xml:space="preserve">Zbigniew Mazan Klinika</t>
  </si>
  <si>
    <t xml:space="preserve">Samodzielny Publiczny Zakład</t>
  </si>
  <si>
    <t xml:space="preserve">Maciej Engman</t>
  </si>
  <si>
    <t xml:space="preserve">Pro Medica w Ełku Sp. z o.o.</t>
  </si>
  <si>
    <t xml:space="preserve">Zagłębiowskie Centrum Onkologii</t>
  </si>
  <si>
    <t xml:space="preserve">Szpital im. Św. Jadwigi Śląskiej</t>
  </si>
  <si>
    <t xml:space="preserve">Wojewódzki Szpital Zespolony</t>
  </si>
  <si>
    <t xml:space="preserve">SPZOZ w Łęcznej</t>
  </si>
  <si>
    <t xml:space="preserve">Wojskowy Instytut Medycyny</t>
  </si>
  <si>
    <t xml:space="preserve">Alexandre Rocha</t>
  </si>
  <si>
    <t xml:space="preserve">Mediclinic Durbanville</t>
  </si>
  <si>
    <t xml:space="preserve">Lungile Mvuyane</t>
  </si>
  <si>
    <t xml:space="preserve">Jane Franklin</t>
  </si>
  <si>
    <t xml:space="preserve">Netcare Sunninghill</t>
  </si>
  <si>
    <t xml:space="preserve">Mediclinic Hermanus</t>
  </si>
  <si>
    <t xml:space="preserve">@COMP.HOSP.UNIVERSITARIO DE BADAJOZ</t>
  </si>
  <si>
    <t xml:space="preserve">Joaquin Roman Gonzalez</t>
  </si>
  <si>
    <t xml:space="preserve">@HOSPITAL JUAN RAMON JIMENEZ</t>
  </si>
  <si>
    <t xml:space="preserve">Marisa Vizarraga Catalan</t>
  </si>
  <si>
    <t xml:space="preserve">@HOSPITAL MIGUEL SERVET</t>
  </si>
  <si>
    <t xml:space="preserve">Xavier Garriga</t>
  </si>
  <si>
    <t xml:space="preserve">Aranzazu Bueno</t>
  </si>
  <si>
    <t xml:space="preserve">Benigno Rivera Fernandez</t>
  </si>
  <si>
    <t xml:space="preserve">Jose Soto</t>
  </si>
  <si>
    <t xml:space="preserve">HOSPITAL DEL MAR</t>
  </si>
  <si>
    <t xml:space="preserve">Ivan Garcia Ridao</t>
  </si>
  <si>
    <t xml:space="preserve">Bernabela Carmen Poveda Callejas</t>
  </si>
  <si>
    <t xml:space="preserve">Manuel Arnau Sabates</t>
  </si>
  <si>
    <t xml:space="preserve">HOSPITAL U. ARABA-TXAGORRITXU</t>
  </si>
  <si>
    <t xml:space="preserve">Hospital Universitari Sagrat Cor</t>
  </si>
  <si>
    <t xml:space="preserve">P.P.L.I. DE CORDOBA</t>
  </si>
  <si>
    <t xml:space="preserve">Manuel Garcia Montanez</t>
  </si>
  <si>
    <t xml:space="preserve">SUMINISTROS HOSPITALARIOS, S.A.</t>
  </si>
  <si>
    <t xml:space="preserve">Irene Garcia</t>
  </si>
  <si>
    <t xml:space="preserve">Elena Urkizu Sáez</t>
  </si>
  <si>
    <t xml:space="preserve">Sara Reinoso Gonzalez</t>
  </si>
  <si>
    <t xml:space="preserve">Navin Mohanani</t>
  </si>
  <si>
    <t xml:space="preserve">FUNDACIÓN JIMÉNEZ DÍAZ U.T.E.</t>
  </si>
  <si>
    <t xml:space="preserve">Vanessa Oltra</t>
  </si>
  <si>
    <t xml:space="preserve">Maria Soledad Rio</t>
  </si>
  <si>
    <t xml:space="preserve">HOSPITAL DE LA MORALEJA</t>
  </si>
  <si>
    <t xml:space="preserve">Rafael Asensio Alonso</t>
  </si>
  <si>
    <t xml:space="preserve">HOSPITAL INMACULADA GRUPO HLA S.L.</t>
  </si>
  <si>
    <t xml:space="preserve">SAS CPC de Malaga</t>
  </si>
  <si>
    <t xml:space="preserve">Francisco Abellan</t>
  </si>
  <si>
    <t xml:space="preserve">Aleris Obesitas Plus Malmö</t>
  </si>
  <si>
    <t xml:space="preserve">Ulrika Beischer</t>
  </si>
  <si>
    <t xml:space="preserve">Capio Kirurgkliniken Stockholm AB</t>
  </si>
  <si>
    <t xml:space="preserve">Cathrine S. Sternberg</t>
  </si>
  <si>
    <t xml:space="preserve">Christian Andre</t>
  </si>
  <si>
    <t xml:space="preserve">Södertälje Sjukhus</t>
  </si>
  <si>
    <t xml:space="preserve">Örnsköldsviks Sjukhus</t>
  </si>
  <si>
    <t xml:space="preserve">Johan Ström</t>
  </si>
  <si>
    <t xml:space="preserve">Daniel Flood</t>
  </si>
  <si>
    <t xml:space="preserve">Värnamo Sjukhus</t>
  </si>
  <si>
    <t xml:space="preserve">Petra Aneborn</t>
  </si>
  <si>
    <t xml:space="preserve">Ann Diepers</t>
  </si>
  <si>
    <t xml:space="preserve">Hirslanden Klinik Linde AG</t>
  </si>
  <si>
    <t xml:space="preserve">Honore Matter</t>
  </si>
  <si>
    <t xml:space="preserve">Rolf Werner</t>
  </si>
  <si>
    <t xml:space="preserve">Nina Stuart</t>
  </si>
  <si>
    <t xml:space="preserve">Northern General Hospital</t>
  </si>
  <si>
    <t xml:space="preserve">David Watts</t>
  </si>
  <si>
    <t xml:space="preserve">John Verovkins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</si>
</sst>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\$#,##0.00;&quot;($&quot;#,##0.00\)"/>
    <numFmt numFmtId="167" formatCode="0.0%;\(0.0%\)"/>
    <numFmt numFmtId="168" formatCode="\$#,##0.00;&quot;($&quot;#,##0.00\);\-"/>
    <numFmt numFmtId="169" formatCode="0.0%;\(0.0%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9C0006"/>
      <name val="Arial"/>
      <family val="0"/>
      <charset val="1"/>
    </font>
    <font>
      <sz val="9"/>
      <color rgb="FF9C0006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1F6B75"/>
      </patternFill>
    </fill>
    <fill>
      <patternFill patternType="solid">
        <fgColor rgb="FFE0F2F1"/>
        <bgColor rgb="FFE8F5E9"/>
      </patternFill>
    </fill>
    <fill>
      <patternFill patternType="solid">
        <fgColor rgb="FFEDE7F6"/>
        <bgColor rgb="FFF2F2F2"/>
      </patternFill>
    </fill>
    <fill>
      <patternFill patternType="solid">
        <fgColor rgb="FFF2F2F2"/>
        <bgColor rgb="FFF5F5F5"/>
      </patternFill>
    </fill>
    <fill>
      <patternFill patternType="solid">
        <fgColor rgb="FF1F6B75"/>
        <bgColor rgb="FF008080"/>
      </patternFill>
    </fill>
    <fill>
      <patternFill patternType="solid">
        <fgColor rgb="FFE8F5E9"/>
        <bgColor rgb="FFE0F2F1"/>
      </patternFill>
    </fill>
    <fill>
      <patternFill patternType="solid">
        <fgColor rgb="FFFFF0EE"/>
        <bgColor rgb="FFF5F5F5"/>
      </patternFill>
    </fill>
    <fill>
      <patternFill patternType="solid">
        <fgColor rgb="FFDDEEFF"/>
        <bgColor rgb="FFE0F2F1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5F5F5"/>
      </patternFill>
    </fill>
    <fill>
      <patternFill patternType="solid">
        <fgColor rgb="FF5C2D91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2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F6B75"/>
      <rgbColor rgb="FFBFBFBF"/>
      <rgbColor rgb="FF808080"/>
      <rgbColor rgb="FF9999FF"/>
      <rgbColor rgb="FF993366"/>
      <rgbColor rgb="FFFFF0EE"/>
      <rgbColor rgb="FFE0F2F1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EFF"/>
      <rgbColor rgb="FFE8F5E9"/>
      <rgbColor rgb="FFF5F5F5"/>
      <rgbColor rgb="FFEBF3FB"/>
      <rgbColor rgb="FFFF99CC"/>
      <rgbColor rgb="FFCC99FF"/>
      <rgbColor rgb="FFF2F2F2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5C2D91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14"/>
    <col collapsed="false" customWidth="true" hidden="false" outlineLevel="0" max="7" min="6" style="0" width="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9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/>
      <c r="G5" s="4"/>
    </row>
    <row r="6" customFormat="false" ht="18" hidden="false" customHeight="true" outlineLevel="0" collapsed="false">
      <c r="A6" s="5" t="s">
        <v>8</v>
      </c>
      <c r="B6" s="6" t="n">
        <v>706056.631232702</v>
      </c>
      <c r="C6" s="6" t="n">
        <v>939472.873915016</v>
      </c>
      <c r="D6" s="7" t="n">
        <v>233416.242682314</v>
      </c>
      <c r="E6" s="8" t="n">
        <v>0.330591389354695</v>
      </c>
      <c r="F6" s="9"/>
      <c r="G6" s="9"/>
    </row>
    <row r="7" customFormat="false" ht="18" hidden="false" customHeight="true" outlineLevel="0" collapsed="false">
      <c r="A7" s="10" t="s">
        <v>9</v>
      </c>
      <c r="B7" s="11" t="n">
        <v>1667306.46526342</v>
      </c>
      <c r="C7" s="11" t="n">
        <v>1046029.67412319</v>
      </c>
      <c r="D7" s="12" t="n">
        <v>-621276.791140223</v>
      </c>
      <c r="E7" s="13" t="n">
        <v>-0.37262303246816</v>
      </c>
      <c r="F7" s="14"/>
      <c r="G7" s="14"/>
    </row>
    <row r="8" customFormat="false" ht="18" hidden="false" customHeight="true" outlineLevel="0" collapsed="false">
      <c r="A8" s="15" t="s">
        <v>10</v>
      </c>
      <c r="B8" s="16" t="n">
        <v>2373363.09649612</v>
      </c>
      <c r="C8" s="16" t="n">
        <v>1985502.54803821</v>
      </c>
      <c r="D8" s="17" t="n">
        <v>-387860.548457909</v>
      </c>
      <c r="E8" s="18" t="n">
        <v>-0.163422338971446</v>
      </c>
      <c r="F8" s="19"/>
      <c r="G8" s="19"/>
    </row>
    <row r="10" customFormat="false" ht="19.5" hidden="false" customHeight="true" outlineLevel="0" collapsed="false">
      <c r="A10" s="20" t="s">
        <v>11</v>
      </c>
      <c r="B10" s="20"/>
      <c r="C10" s="20"/>
      <c r="D10" s="20"/>
      <c r="E10" s="20"/>
      <c r="F10" s="20"/>
      <c r="G10" s="20"/>
    </row>
    <row r="11" customFormat="false" ht="15.75" hidden="false" customHeight="true" outlineLevel="0" collapsed="false">
      <c r="A11" s="21" t="s">
        <v>12</v>
      </c>
      <c r="B11" s="21" t="s">
        <v>13</v>
      </c>
      <c r="C11" s="21"/>
      <c r="D11" s="21"/>
      <c r="E11" s="21"/>
      <c r="F11" s="21"/>
      <c r="G11" s="21"/>
    </row>
    <row r="12" customFormat="false" ht="15" hidden="false" customHeight="true" outlineLevel="0" collapsed="false">
      <c r="A12" s="22" t="s">
        <v>14</v>
      </c>
      <c r="B12" s="23" t="n">
        <v>17</v>
      </c>
      <c r="C12" s="24"/>
      <c r="D12" s="24"/>
      <c r="E12" s="24"/>
      <c r="F12" s="24"/>
      <c r="G12" s="24"/>
    </row>
    <row r="13" customFormat="false" ht="15" hidden="false" customHeight="true" outlineLevel="0" collapsed="false">
      <c r="A13" s="25" t="s">
        <v>15</v>
      </c>
      <c r="B13" s="26" t="n">
        <v>6</v>
      </c>
      <c r="C13" s="27"/>
      <c r="D13" s="27"/>
      <c r="E13" s="27"/>
      <c r="F13" s="27"/>
      <c r="G13" s="27"/>
    </row>
    <row r="14" customFormat="false" ht="15" hidden="false" customHeight="true" outlineLevel="0" collapsed="false">
      <c r="A14" s="28" t="s">
        <v>16</v>
      </c>
      <c r="B14" s="29" t="n">
        <v>16</v>
      </c>
      <c r="C14" s="30"/>
      <c r="D14" s="30"/>
      <c r="E14" s="30"/>
      <c r="F14" s="30"/>
      <c r="G14" s="30"/>
    </row>
    <row r="15" customFormat="false" ht="15" hidden="false" customHeight="true" outlineLevel="0" collapsed="false">
      <c r="A15" s="31" t="s">
        <v>17</v>
      </c>
      <c r="B15" s="32" t="n">
        <v>1</v>
      </c>
      <c r="C15" s="33"/>
      <c r="D15" s="33"/>
      <c r="E15" s="33"/>
      <c r="F15" s="33"/>
      <c r="G15" s="33"/>
    </row>
    <row r="16" customFormat="false" ht="15" hidden="false" customHeight="true" outlineLevel="0" collapsed="false">
      <c r="A16" s="34" t="s">
        <v>18</v>
      </c>
      <c r="B16" s="35" t="n">
        <v>39</v>
      </c>
      <c r="C16" s="36"/>
      <c r="D16" s="36"/>
      <c r="E16" s="36"/>
      <c r="F16" s="36"/>
      <c r="G16" s="36"/>
    </row>
    <row r="18" customFormat="false" ht="19.5" hidden="false" customHeight="true" outlineLevel="0" collapsed="false">
      <c r="A18" s="37" t="s">
        <v>19</v>
      </c>
      <c r="B18" s="37"/>
      <c r="C18" s="37"/>
      <c r="D18" s="37"/>
      <c r="E18" s="37"/>
      <c r="F18" s="37"/>
      <c r="G18" s="37"/>
    </row>
    <row r="19" customFormat="false" ht="15.75" hidden="false" customHeight="true" outlineLevel="0" collapsed="false">
      <c r="A19" s="38" t="s">
        <v>12</v>
      </c>
      <c r="B19" s="38" t="s">
        <v>13</v>
      </c>
      <c r="C19" s="38"/>
      <c r="D19" s="38"/>
      <c r="E19" s="38"/>
      <c r="F19" s="38"/>
      <c r="G19" s="38"/>
    </row>
    <row r="20" customFormat="false" ht="15" hidden="false" customHeight="true" outlineLevel="0" collapsed="false">
      <c r="A20" s="22" t="s">
        <v>14</v>
      </c>
      <c r="B20" s="23" t="n">
        <v>0</v>
      </c>
      <c r="C20" s="24"/>
      <c r="D20" s="24"/>
      <c r="E20" s="24"/>
      <c r="F20" s="24"/>
      <c r="G20" s="24"/>
    </row>
    <row r="21" customFormat="false" ht="15" hidden="false" customHeight="true" outlineLevel="0" collapsed="false">
      <c r="A21" s="25" t="s">
        <v>15</v>
      </c>
      <c r="B21" s="26" t="n">
        <v>29</v>
      </c>
      <c r="C21" s="27"/>
      <c r="D21" s="27"/>
      <c r="E21" s="27"/>
      <c r="F21" s="27"/>
      <c r="G21" s="27"/>
    </row>
    <row r="22" customFormat="false" ht="15" hidden="false" customHeight="true" outlineLevel="0" collapsed="false">
      <c r="A22" s="28" t="s">
        <v>16</v>
      </c>
      <c r="B22" s="29" t="n">
        <v>0</v>
      </c>
      <c r="C22" s="30"/>
      <c r="D22" s="30"/>
      <c r="E22" s="30"/>
      <c r="F22" s="30"/>
      <c r="G22" s="30"/>
    </row>
    <row r="23" customFormat="false" ht="15" hidden="false" customHeight="true" outlineLevel="0" collapsed="false">
      <c r="A23" s="31" t="s">
        <v>17</v>
      </c>
      <c r="B23" s="32" t="n">
        <v>51</v>
      </c>
      <c r="C23" s="33"/>
      <c r="D23" s="33"/>
      <c r="E23" s="33"/>
      <c r="F23" s="33"/>
      <c r="G23" s="33"/>
    </row>
    <row r="24" customFormat="false" ht="15" hidden="false" customHeight="true" outlineLevel="0" collapsed="false">
      <c r="A24" s="34" t="s">
        <v>18</v>
      </c>
      <c r="B24" s="35" t="n">
        <v>62</v>
      </c>
      <c r="C24" s="36"/>
      <c r="D24" s="36"/>
      <c r="E24" s="36"/>
      <c r="F24" s="36"/>
      <c r="G24" s="36"/>
    </row>
  </sheetData>
  <mergeCells count="5">
    <mergeCell ref="A1:G1"/>
    <mergeCell ref="A2:G2"/>
    <mergeCell ref="A4:G4"/>
    <mergeCell ref="A10:G10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6" min="5" style="0" width="11"/>
    <col collapsed="false" customWidth="true" hidden="false" outlineLevel="0" max="7" min="7" style="0" width="3"/>
    <col collapsed="false" customWidth="true" hidden="false" outlineLevel="0" max="8" min="8" style="0" width="11"/>
    <col collapsed="false" customWidth="true" hidden="false" outlineLevel="0" max="10" min="9" style="0" width="18"/>
    <col collapsed="false" customWidth="true" hidden="false" outlineLevel="0" max="11" min="11" style="0" width="16"/>
    <col collapsed="false" customWidth="true" hidden="false" outlineLevel="0" max="13" min="12" style="0" width="11"/>
  </cols>
  <sheetData>
    <row r="1" customFormat="false" ht="25.5" hidden="false" customHeight="true" outlineLevel="0" collapsed="false">
      <c r="A1" s="39" t="s">
        <v>20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customFormat="false" ht="13.5" hidden="false" customHeight="true" outlineLevel="0" collapsed="false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19.5" hidden="false" customHeight="true" outlineLevel="0" collapsed="false">
      <c r="A4" s="20" t="s">
        <v>22</v>
      </c>
      <c r="B4" s="20"/>
      <c r="C4" s="20"/>
      <c r="D4" s="20"/>
      <c r="E4" s="20"/>
      <c r="F4" s="20"/>
      <c r="H4" s="37" t="s">
        <v>23</v>
      </c>
      <c r="I4" s="37"/>
      <c r="J4" s="37"/>
      <c r="K4" s="37"/>
      <c r="L4" s="37"/>
      <c r="M4" s="37"/>
    </row>
    <row r="5" customFormat="false" ht="25.5" hidden="false" customHeight="true" outlineLevel="0" collapsed="false">
      <c r="A5" s="21" t="s">
        <v>24</v>
      </c>
      <c r="B5" s="21" t="s">
        <v>25</v>
      </c>
      <c r="C5" s="21" t="s">
        <v>26</v>
      </c>
      <c r="D5" s="21" t="s">
        <v>6</v>
      </c>
      <c r="E5" s="21" t="s">
        <v>7</v>
      </c>
      <c r="F5" s="21" t="s">
        <v>12</v>
      </c>
      <c r="H5" s="38" t="s">
        <v>24</v>
      </c>
      <c r="I5" s="38" t="s">
        <v>27</v>
      </c>
      <c r="J5" s="38" t="s">
        <v>28</v>
      </c>
      <c r="K5" s="38" t="s">
        <v>6</v>
      </c>
      <c r="L5" s="38" t="s">
        <v>7</v>
      </c>
      <c r="M5" s="38" t="s">
        <v>12</v>
      </c>
    </row>
    <row r="6" customFormat="false" ht="15.75" hidden="false" customHeight="true" outlineLevel="0" collapsed="false">
      <c r="A6" s="40" t="s">
        <v>29</v>
      </c>
      <c r="B6" s="41" t="n">
        <v>130889.657207288</v>
      </c>
      <c r="C6" s="41" t="n">
        <v>171144.977887555</v>
      </c>
      <c r="D6" s="42" t="n">
        <v>40255.3206802672</v>
      </c>
      <c r="E6" s="43" t="n">
        <v>0.307551578475872</v>
      </c>
      <c r="F6" s="44" t="s">
        <v>14</v>
      </c>
      <c r="H6" s="45" t="s">
        <v>30</v>
      </c>
      <c r="I6" s="46" t="n">
        <v>0</v>
      </c>
      <c r="J6" s="46" t="n">
        <v>0</v>
      </c>
      <c r="K6" s="47" t="n">
        <v>0</v>
      </c>
      <c r="L6" s="48" t="s">
        <v>31</v>
      </c>
      <c r="M6" s="45" t="s">
        <v>18</v>
      </c>
    </row>
    <row r="7" customFormat="false" ht="15.75" hidden="false" customHeight="true" outlineLevel="0" collapsed="false">
      <c r="A7" s="40" t="s">
        <v>32</v>
      </c>
      <c r="B7" s="41" t="n">
        <v>76717.1078563416</v>
      </c>
      <c r="C7" s="41" t="n">
        <v>115816.542963685</v>
      </c>
      <c r="D7" s="42" t="n">
        <v>39099.4351073432</v>
      </c>
      <c r="E7" s="43" t="n">
        <v>0.509657313731896</v>
      </c>
      <c r="F7" s="44" t="s">
        <v>14</v>
      </c>
      <c r="H7" s="49" t="s">
        <v>33</v>
      </c>
      <c r="I7" s="50" t="n">
        <v>2724.39701310526</v>
      </c>
      <c r="J7" s="50" t="n">
        <v>1737.650237</v>
      </c>
      <c r="K7" s="51" t="n">
        <v>-986.746776105263</v>
      </c>
      <c r="L7" s="52" t="n">
        <v>-0.362189053709382</v>
      </c>
      <c r="M7" s="53" t="s">
        <v>15</v>
      </c>
    </row>
    <row r="8" customFormat="false" ht="15.75" hidden="false" customHeight="true" outlineLevel="0" collapsed="false">
      <c r="A8" s="40" t="s">
        <v>34</v>
      </c>
      <c r="B8" s="41" t="n">
        <v>144531.88090797</v>
      </c>
      <c r="C8" s="41" t="n">
        <v>178011.508179583</v>
      </c>
      <c r="D8" s="42" t="n">
        <v>33479.627271613</v>
      </c>
      <c r="E8" s="43" t="n">
        <v>0.231641815364813</v>
      </c>
      <c r="F8" s="44" t="s">
        <v>14</v>
      </c>
      <c r="H8" s="49" t="s">
        <v>35</v>
      </c>
      <c r="I8" s="50" t="n">
        <v>21580.3771315931</v>
      </c>
      <c r="J8" s="50" t="n">
        <v>20185.0466080382</v>
      </c>
      <c r="K8" s="51" t="n">
        <v>-1395.33052355484</v>
      </c>
      <c r="L8" s="52" t="n">
        <v>-0.0646573743844409</v>
      </c>
      <c r="M8" s="53" t="s">
        <v>15</v>
      </c>
    </row>
    <row r="9" customFormat="false" ht="15.75" hidden="false" customHeight="true" outlineLevel="0" collapsed="false">
      <c r="A9" s="40" t="s">
        <v>36</v>
      </c>
      <c r="B9" s="41" t="n">
        <v>59099.5266108447</v>
      </c>
      <c r="C9" s="41" t="n">
        <v>92124.64467925</v>
      </c>
      <c r="D9" s="42" t="n">
        <v>33025.1180684053</v>
      </c>
      <c r="E9" s="43" t="n">
        <v>0.558805120147024</v>
      </c>
      <c r="F9" s="44" t="s">
        <v>14</v>
      </c>
      <c r="H9" s="49" t="s">
        <v>37</v>
      </c>
      <c r="I9" s="50" t="n">
        <v>28585.798584881</v>
      </c>
      <c r="J9" s="50" t="n">
        <v>26748.296747381</v>
      </c>
      <c r="K9" s="51" t="n">
        <v>-1837.5018375</v>
      </c>
      <c r="L9" s="52" t="n">
        <v>-0.0642802345382737</v>
      </c>
      <c r="M9" s="53" t="s">
        <v>15</v>
      </c>
    </row>
    <row r="10" customFormat="false" ht="15.75" hidden="false" customHeight="true" outlineLevel="0" collapsed="false">
      <c r="A10" s="40" t="s">
        <v>38</v>
      </c>
      <c r="B10" s="41" t="n">
        <v>31639.946861758</v>
      </c>
      <c r="C10" s="41" t="n">
        <v>52829.3483770051</v>
      </c>
      <c r="D10" s="42" t="n">
        <v>21189.4015152471</v>
      </c>
      <c r="E10" s="43" t="n">
        <v>0.669704080345908</v>
      </c>
      <c r="F10" s="44" t="s">
        <v>14</v>
      </c>
      <c r="H10" s="49" t="s">
        <v>39</v>
      </c>
      <c r="I10" s="50" t="n">
        <v>14429.1964266125</v>
      </c>
      <c r="J10" s="50" t="n">
        <v>8784.32433924445</v>
      </c>
      <c r="K10" s="51" t="n">
        <v>-5644.87208736802</v>
      </c>
      <c r="L10" s="52" t="n">
        <v>-0.391211812527336</v>
      </c>
      <c r="M10" s="53" t="s">
        <v>15</v>
      </c>
    </row>
    <row r="11" customFormat="false" ht="15.75" hidden="false" customHeight="true" outlineLevel="0" collapsed="false">
      <c r="A11" s="40" t="s">
        <v>40</v>
      </c>
      <c r="B11" s="41" t="n">
        <v>69719.5612851328</v>
      </c>
      <c r="C11" s="41" t="n">
        <v>90534.298466384</v>
      </c>
      <c r="D11" s="42" t="n">
        <v>20814.7371812511</v>
      </c>
      <c r="E11" s="43" t="n">
        <v>0.298549457248087</v>
      </c>
      <c r="F11" s="44" t="s">
        <v>14</v>
      </c>
      <c r="H11" s="49" t="s">
        <v>41</v>
      </c>
      <c r="I11" s="50" t="n">
        <v>20586.4031258342</v>
      </c>
      <c r="J11" s="50" t="n">
        <v>13932.8871109106</v>
      </c>
      <c r="K11" s="51" t="n">
        <v>-6653.51601492363</v>
      </c>
      <c r="L11" s="52" t="n">
        <v>-0.323199539727949</v>
      </c>
      <c r="M11" s="53" t="s">
        <v>15</v>
      </c>
    </row>
    <row r="12" customFormat="false" ht="15.75" hidden="false" customHeight="true" outlineLevel="0" collapsed="false">
      <c r="A12" s="40" t="s">
        <v>42</v>
      </c>
      <c r="B12" s="41" t="n">
        <v>4764.90476500276</v>
      </c>
      <c r="C12" s="41" t="n">
        <v>19059.619060011</v>
      </c>
      <c r="D12" s="42" t="n">
        <v>14294.7142950083</v>
      </c>
      <c r="E12" s="43" t="n">
        <v>3</v>
      </c>
      <c r="F12" s="44" t="s">
        <v>14</v>
      </c>
      <c r="H12" s="49" t="s">
        <v>43</v>
      </c>
      <c r="I12" s="50" t="n">
        <v>95991.5730140825</v>
      </c>
      <c r="J12" s="50" t="n">
        <v>89230.0560115282</v>
      </c>
      <c r="K12" s="51" t="n">
        <v>-6761.51700255435</v>
      </c>
      <c r="L12" s="52" t="n">
        <v>-0.0704386519591922</v>
      </c>
      <c r="M12" s="53" t="s">
        <v>15</v>
      </c>
    </row>
    <row r="13" customFormat="false" ht="15.75" hidden="false" customHeight="true" outlineLevel="0" collapsed="false">
      <c r="A13" s="40" t="s">
        <v>44</v>
      </c>
      <c r="B13" s="41" t="n">
        <v>54362.7753162892</v>
      </c>
      <c r="C13" s="41" t="n">
        <v>68329.5995108488</v>
      </c>
      <c r="D13" s="42" t="n">
        <v>13966.8241945595</v>
      </c>
      <c r="E13" s="43" t="n">
        <v>0.256918895573283</v>
      </c>
      <c r="F13" s="44" t="s">
        <v>14</v>
      </c>
      <c r="H13" s="54" t="s">
        <v>45</v>
      </c>
      <c r="I13" s="55" t="n">
        <v>6877.91304366667</v>
      </c>
      <c r="J13" s="55" t="n">
        <v>0</v>
      </c>
      <c r="K13" s="56" t="n">
        <v>-6877.91304366667</v>
      </c>
      <c r="L13" s="57" t="n">
        <v>-1</v>
      </c>
      <c r="M13" s="58" t="s">
        <v>17</v>
      </c>
    </row>
    <row r="14" customFormat="false" ht="15.75" hidden="false" customHeight="true" outlineLevel="0" collapsed="false">
      <c r="A14" s="40" t="s">
        <v>46</v>
      </c>
      <c r="B14" s="41" t="n">
        <v>20526.0596395628</v>
      </c>
      <c r="C14" s="41" t="n">
        <v>32570.27645286</v>
      </c>
      <c r="D14" s="42" t="n">
        <v>12044.2168132972</v>
      </c>
      <c r="E14" s="43" t="n">
        <v>0.586776859504132</v>
      </c>
      <c r="F14" s="44" t="s">
        <v>14</v>
      </c>
      <c r="H14" s="54" t="s">
        <v>47</v>
      </c>
      <c r="I14" s="55" t="n">
        <v>7809.36422566098</v>
      </c>
      <c r="J14" s="55" t="n">
        <v>0</v>
      </c>
      <c r="K14" s="56" t="n">
        <v>-7809.36422566098</v>
      </c>
      <c r="L14" s="57" t="n">
        <v>-1</v>
      </c>
      <c r="M14" s="58" t="s">
        <v>17</v>
      </c>
    </row>
    <row r="15" customFormat="false" ht="15.75" hidden="false" customHeight="true" outlineLevel="0" collapsed="false">
      <c r="A15" s="40" t="s">
        <v>48</v>
      </c>
      <c r="B15" s="41" t="n">
        <v>27535.7465493216</v>
      </c>
      <c r="C15" s="41" t="n">
        <v>35692.7657959993</v>
      </c>
      <c r="D15" s="42" t="n">
        <v>8157.01924667769</v>
      </c>
      <c r="E15" s="43" t="n">
        <v>0.296233814909175</v>
      </c>
      <c r="F15" s="44" t="s">
        <v>14</v>
      </c>
      <c r="H15" s="49" t="s">
        <v>49</v>
      </c>
      <c r="I15" s="50" t="n">
        <v>23507.1876723667</v>
      </c>
      <c r="J15" s="50" t="n">
        <v>14192.1289016194</v>
      </c>
      <c r="K15" s="51" t="n">
        <v>-9315.05877074725</v>
      </c>
      <c r="L15" s="52" t="n">
        <v>-0.396264278848523</v>
      </c>
      <c r="M15" s="53" t="s">
        <v>15</v>
      </c>
    </row>
    <row r="16" customFormat="false" ht="15.75" hidden="false" customHeight="true" outlineLevel="0" collapsed="false">
      <c r="A16" s="40" t="s">
        <v>50</v>
      </c>
      <c r="B16" s="41" t="n">
        <v>2465.7071013476</v>
      </c>
      <c r="C16" s="41" t="n">
        <v>9668.08294035136</v>
      </c>
      <c r="D16" s="42" t="n">
        <v>7202.37583900376</v>
      </c>
      <c r="E16" s="43" t="n">
        <v>2.92101841093266</v>
      </c>
      <c r="F16" s="44" t="s">
        <v>14</v>
      </c>
      <c r="H16" s="49" t="s">
        <v>51</v>
      </c>
      <c r="I16" s="50" t="n">
        <v>34799.0668624216</v>
      </c>
      <c r="J16" s="50" t="n">
        <v>25170.5057890828</v>
      </c>
      <c r="K16" s="51" t="n">
        <v>-9628.56107333885</v>
      </c>
      <c r="L16" s="52" t="n">
        <v>-0.276690208717534</v>
      </c>
      <c r="M16" s="53" t="s">
        <v>15</v>
      </c>
    </row>
    <row r="17" customFormat="false" ht="15.75" hidden="false" customHeight="true" outlineLevel="0" collapsed="false">
      <c r="A17" s="40" t="s">
        <v>52</v>
      </c>
      <c r="B17" s="41" t="n">
        <v>12313.875658681</v>
      </c>
      <c r="C17" s="41" t="n">
        <v>16062.3982257157</v>
      </c>
      <c r="D17" s="42" t="n">
        <v>3748.52256703473</v>
      </c>
      <c r="E17" s="43" t="n">
        <v>0.304414521547659</v>
      </c>
      <c r="F17" s="44" t="s">
        <v>14</v>
      </c>
      <c r="H17" s="49" t="s">
        <v>53</v>
      </c>
      <c r="I17" s="50" t="n">
        <v>28462.7315878224</v>
      </c>
      <c r="J17" s="50" t="n">
        <v>12304.9268348235</v>
      </c>
      <c r="K17" s="51" t="n">
        <v>-16157.8047529989</v>
      </c>
      <c r="L17" s="52" t="n">
        <v>-0.567682855847606</v>
      </c>
      <c r="M17" s="53" t="s">
        <v>15</v>
      </c>
    </row>
    <row r="18" customFormat="false" ht="15.75" hidden="false" customHeight="true" outlineLevel="0" collapsed="false">
      <c r="A18" s="40" t="s">
        <v>47</v>
      </c>
      <c r="B18" s="41" t="n">
        <v>7809.36422566098</v>
      </c>
      <c r="C18" s="41" t="n">
        <v>8553.11319953346</v>
      </c>
      <c r="D18" s="42" t="n">
        <v>743.748973872474</v>
      </c>
      <c r="E18" s="43" t="n">
        <v>0.0952380952380952</v>
      </c>
      <c r="F18" s="44" t="s">
        <v>14</v>
      </c>
      <c r="H18" s="49" t="s">
        <v>54</v>
      </c>
      <c r="I18" s="50" t="n">
        <v>117268.357107595</v>
      </c>
      <c r="J18" s="50" t="n">
        <v>95781.045684</v>
      </c>
      <c r="K18" s="51" t="n">
        <v>-21487.3114235947</v>
      </c>
      <c r="L18" s="52" t="n">
        <v>-0.183231964304573</v>
      </c>
      <c r="M18" s="53" t="s">
        <v>15</v>
      </c>
    </row>
    <row r="19" customFormat="false" ht="15.75" hidden="false" customHeight="true" outlineLevel="0" collapsed="false">
      <c r="A19" s="49" t="s">
        <v>55</v>
      </c>
      <c r="B19" s="50" t="n">
        <v>14975.4449318804</v>
      </c>
      <c r="C19" s="50" t="n">
        <v>9728.89652102354</v>
      </c>
      <c r="D19" s="51" t="n">
        <v>-5246.54841085687</v>
      </c>
      <c r="E19" s="52" t="n">
        <v>-0.350343407806721</v>
      </c>
      <c r="F19" s="53" t="s">
        <v>15</v>
      </c>
      <c r="H19" s="49" t="s">
        <v>56</v>
      </c>
      <c r="I19" s="50" t="n">
        <v>26970.4228907426</v>
      </c>
      <c r="J19" s="50" t="n">
        <v>4515.2145138</v>
      </c>
      <c r="K19" s="51" t="n">
        <v>-22455.2083769426</v>
      </c>
      <c r="L19" s="52" t="n">
        <v>-0.832586439890425</v>
      </c>
      <c r="M19" s="53" t="s">
        <v>15</v>
      </c>
    </row>
    <row r="20" customFormat="false" ht="15.75" hidden="false" customHeight="true" outlineLevel="0" collapsed="false">
      <c r="A20" s="49" t="s">
        <v>57</v>
      </c>
      <c r="B20" s="50" t="n">
        <v>48705.0723156208</v>
      </c>
      <c r="C20" s="50" t="n">
        <v>39346.8016552111</v>
      </c>
      <c r="D20" s="51" t="n">
        <v>-9358.2706604097</v>
      </c>
      <c r="E20" s="52" t="n">
        <v>-0.192141602824564</v>
      </c>
      <c r="F20" s="53" t="s">
        <v>15</v>
      </c>
      <c r="H20" s="49" t="s">
        <v>58</v>
      </c>
      <c r="I20" s="50" t="n">
        <v>45542.8732565029</v>
      </c>
      <c r="J20" s="50" t="n">
        <v>21657.0777179032</v>
      </c>
      <c r="K20" s="51" t="n">
        <v>-23885.7955385997</v>
      </c>
      <c r="L20" s="52" t="n">
        <v>-0.524468348847295</v>
      </c>
      <c r="M20" s="53" t="s">
        <v>15</v>
      </c>
    </row>
    <row r="21" customFormat="false" ht="15.75" hidden="false" customHeight="true" outlineLevel="0" collapsed="false">
      <c r="H21" s="49" t="s">
        <v>59</v>
      </c>
      <c r="I21" s="50" t="n">
        <v>34597.4163688121</v>
      </c>
      <c r="J21" s="50" t="n">
        <v>4301.57257354121</v>
      </c>
      <c r="K21" s="51" t="n">
        <v>-30295.8437952709</v>
      </c>
      <c r="L21" s="52" t="n">
        <v>-0.875667809188814</v>
      </c>
      <c r="M21" s="53" t="s">
        <v>15</v>
      </c>
    </row>
    <row r="22" customFormat="false" ht="15.75" hidden="false" customHeight="true" outlineLevel="0" collapsed="false">
      <c r="H22" s="54" t="s">
        <v>60</v>
      </c>
      <c r="I22" s="55" t="n">
        <v>31027.531026</v>
      </c>
      <c r="J22" s="55" t="n">
        <v>0</v>
      </c>
      <c r="K22" s="56" t="n">
        <v>-31027.531026</v>
      </c>
      <c r="L22" s="57" t="n">
        <v>-1</v>
      </c>
      <c r="M22" s="58" t="s">
        <v>17</v>
      </c>
    </row>
    <row r="23" customFormat="false" ht="15.75" hidden="false" customHeight="true" outlineLevel="0" collapsed="false">
      <c r="H23" s="49" t="s">
        <v>61</v>
      </c>
      <c r="I23" s="50" t="n">
        <v>75244.4364864642</v>
      </c>
      <c r="J23" s="50" t="n">
        <v>41232.4589167945</v>
      </c>
      <c r="K23" s="51" t="n">
        <v>-34011.9775696697</v>
      </c>
      <c r="L23" s="52" t="n">
        <v>-0.452019832400341</v>
      </c>
      <c r="M23" s="53" t="s">
        <v>15</v>
      </c>
    </row>
    <row r="24" customFormat="false" ht="15.75" hidden="false" customHeight="true" outlineLevel="0" collapsed="false">
      <c r="H24" s="49" t="s">
        <v>62</v>
      </c>
      <c r="I24" s="50" t="n">
        <v>92858.2847374551</v>
      </c>
      <c r="J24" s="50" t="n">
        <v>57741.951129247</v>
      </c>
      <c r="K24" s="51" t="n">
        <v>-35116.3336082081</v>
      </c>
      <c r="L24" s="52" t="n">
        <v>-0.378171249958957</v>
      </c>
      <c r="M24" s="53" t="s">
        <v>15</v>
      </c>
    </row>
    <row r="25" customFormat="false" ht="15.75" hidden="false" customHeight="true" outlineLevel="0" collapsed="false">
      <c r="H25" s="49" t="s">
        <v>63</v>
      </c>
      <c r="I25" s="50" t="n">
        <v>39674.2475598686</v>
      </c>
      <c r="J25" s="50" t="n">
        <v>1097.6067592873</v>
      </c>
      <c r="K25" s="51" t="n">
        <v>-38576.6408005813</v>
      </c>
      <c r="L25" s="52" t="n">
        <v>-0.972334528647808</v>
      </c>
      <c r="M25" s="53" t="s">
        <v>15</v>
      </c>
    </row>
    <row r="26" customFormat="false" ht="15.75" hidden="false" customHeight="true" outlineLevel="0" collapsed="false">
      <c r="H26" s="49" t="s">
        <v>64</v>
      </c>
      <c r="I26" s="50" t="n">
        <v>51523.7940440408</v>
      </c>
      <c r="J26" s="50" t="n">
        <v>5234.87516628399</v>
      </c>
      <c r="K26" s="51" t="n">
        <v>-46288.9188777568</v>
      </c>
      <c r="L26" s="52" t="n">
        <v>-0.898398880295784</v>
      </c>
      <c r="M26" s="53" t="s">
        <v>15</v>
      </c>
    </row>
    <row r="27" customFormat="false" ht="15.75" hidden="false" customHeight="true" outlineLevel="0" collapsed="false">
      <c r="H27" s="49" t="s">
        <v>65</v>
      </c>
      <c r="I27" s="50" t="n">
        <v>378133.886167732</v>
      </c>
      <c r="J27" s="50" t="n">
        <v>319028.783420657</v>
      </c>
      <c r="K27" s="51" t="n">
        <v>-59105.1027470748</v>
      </c>
      <c r="L27" s="52" t="n">
        <v>-0.15630734221174</v>
      </c>
      <c r="M27" s="53" t="s">
        <v>15</v>
      </c>
    </row>
    <row r="28" customFormat="false" ht="15.75" hidden="false" customHeight="true" outlineLevel="0" collapsed="false">
      <c r="H28" s="49" t="s">
        <v>66</v>
      </c>
      <c r="I28" s="50" t="n">
        <v>224728.234573305</v>
      </c>
      <c r="J28" s="50" t="n">
        <v>143921.679287664</v>
      </c>
      <c r="K28" s="51" t="n">
        <v>-80806.5552856409</v>
      </c>
      <c r="L28" s="52" t="n">
        <v>-0.359574556526329</v>
      </c>
      <c r="M28" s="53" t="s">
        <v>15</v>
      </c>
    </row>
    <row r="29" customFormat="false" ht="15.75" hidden="false" customHeight="true" outlineLevel="0" collapsed="false">
      <c r="H29" s="49" t="s">
        <v>67</v>
      </c>
      <c r="I29" s="50" t="n">
        <v>264382.972356852</v>
      </c>
      <c r="J29" s="50" t="n">
        <v>139231.586374388</v>
      </c>
      <c r="K29" s="51" t="n">
        <v>-125151.385982465</v>
      </c>
      <c r="L29" s="52" t="n">
        <v>-0.473371582393517</v>
      </c>
      <c r="M29" s="53" t="s">
        <v>15</v>
      </c>
    </row>
    <row r="30" customFormat="false" ht="19.5" hidden="false" customHeight="true" outlineLevel="0" collapsed="false">
      <c r="A30" s="59" t="s">
        <v>68</v>
      </c>
      <c r="B30" s="60" t="n">
        <f aca="false">SUM(B6:B20)</f>
        <v>706056.631232702</v>
      </c>
      <c r="C30" s="60" t="n">
        <f aca="false">SUM(C6:C20)</f>
        <v>939472.873915016</v>
      </c>
      <c r="D30" s="60" t="n">
        <f aca="false">SUM(D6:D20)</f>
        <v>233416.242682314</v>
      </c>
      <c r="E30" s="59"/>
      <c r="F30" s="59"/>
      <c r="H30" s="61" t="s">
        <v>68</v>
      </c>
      <c r="I30" s="62" t="n">
        <f aca="false">SUM(I6:I29)</f>
        <v>1667306.46526342</v>
      </c>
      <c r="J30" s="62" t="n">
        <f aca="false">SUM(J6:J29)</f>
        <v>1046029.67412319</v>
      </c>
      <c r="K30" s="62" t="n">
        <f aca="false">SUM(K6:K29)</f>
        <v>-621276.791140223</v>
      </c>
      <c r="L30" s="61"/>
      <c r="M30" s="61"/>
    </row>
  </sheetData>
  <mergeCells count="4">
    <mergeCell ref="A1:L1"/>
    <mergeCell ref="A2:L2"/>
    <mergeCell ref="A4:F4"/>
    <mergeCell ref="H4:M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5" min="4" style="0" width="20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3"/>
  </cols>
  <sheetData>
    <row r="1" customFormat="false" ht="25.5" hidden="false" customHeight="true" outlineLevel="0" collapsed="false">
      <c r="A1" s="63" t="s">
        <v>69</v>
      </c>
      <c r="B1" s="63"/>
      <c r="C1" s="63"/>
      <c r="D1" s="63"/>
      <c r="E1" s="63"/>
      <c r="F1" s="63"/>
      <c r="G1" s="63"/>
      <c r="H1" s="63"/>
    </row>
    <row r="2" customFormat="false" ht="13.5" hidden="false" customHeight="true" outlineLevel="0" collapsed="false">
      <c r="A2" s="64" t="s">
        <v>70</v>
      </c>
      <c r="B2" s="64"/>
      <c r="C2" s="64"/>
      <c r="D2" s="64"/>
      <c r="E2" s="64"/>
      <c r="F2" s="64"/>
      <c r="G2" s="64"/>
      <c r="H2" s="64"/>
    </row>
    <row r="3" customFormat="false" ht="24" hidden="false" customHeight="true" outlineLevel="0" collapsed="false">
      <c r="A3" s="21" t="s">
        <v>24</v>
      </c>
      <c r="B3" s="21" t="s">
        <v>71</v>
      </c>
      <c r="C3" s="21" t="s">
        <v>72</v>
      </c>
      <c r="D3" s="21" t="s">
        <v>25</v>
      </c>
      <c r="E3" s="21" t="s">
        <v>26</v>
      </c>
      <c r="F3" s="21" t="s">
        <v>6</v>
      </c>
      <c r="G3" s="21" t="s">
        <v>7</v>
      </c>
      <c r="H3" s="21" t="s">
        <v>12</v>
      </c>
    </row>
    <row r="4" customFormat="false" ht="13.5" hidden="false" customHeight="true" outlineLevel="0" collapsed="false">
      <c r="A4" s="49" t="s">
        <v>55</v>
      </c>
      <c r="B4" s="65" t="s">
        <v>73</v>
      </c>
      <c r="C4" s="65" t="s">
        <v>74</v>
      </c>
      <c r="D4" s="50" t="n">
        <v>8288.44699722989</v>
      </c>
      <c r="E4" s="50" t="n">
        <v>6446.89344911877</v>
      </c>
      <c r="F4" s="51" t="n">
        <v>-1841.55354811111</v>
      </c>
      <c r="G4" s="52" t="n">
        <v>-0.222183184464663</v>
      </c>
      <c r="H4" s="53" t="s">
        <v>15</v>
      </c>
    </row>
    <row r="5" customFormat="false" ht="13.5" hidden="false" customHeight="true" outlineLevel="0" collapsed="false">
      <c r="A5" s="49" t="s">
        <v>55</v>
      </c>
      <c r="B5" s="65" t="s">
        <v>75</v>
      </c>
      <c r="C5" s="65" t="s">
        <v>74</v>
      </c>
      <c r="D5" s="50" t="n">
        <v>6686.99793465053</v>
      </c>
      <c r="E5" s="50" t="n">
        <v>3282.00307190476</v>
      </c>
      <c r="F5" s="51" t="n">
        <v>-3404.99486274576</v>
      </c>
      <c r="G5" s="52" t="n">
        <v>-0.509196338330216</v>
      </c>
      <c r="H5" s="53" t="s">
        <v>15</v>
      </c>
    </row>
    <row r="6" customFormat="false" ht="13.5" hidden="false" customHeight="true" outlineLevel="0" collapsed="false">
      <c r="A6" s="66" t="s">
        <v>50</v>
      </c>
      <c r="B6" s="67" t="s">
        <v>76</v>
      </c>
      <c r="C6" s="67" t="s">
        <v>77</v>
      </c>
      <c r="D6" s="68" t="n">
        <v>0</v>
      </c>
      <c r="E6" s="68" t="n">
        <v>6890.95404617284</v>
      </c>
      <c r="F6" s="69" t="n">
        <v>6890.95404617284</v>
      </c>
      <c r="G6" s="70" t="s">
        <v>31</v>
      </c>
      <c r="H6" s="71" t="s">
        <v>16</v>
      </c>
    </row>
    <row r="7" customFormat="false" ht="13.5" hidden="false" customHeight="true" outlineLevel="0" collapsed="false">
      <c r="A7" s="40" t="s">
        <v>50</v>
      </c>
      <c r="B7" s="72" t="s">
        <v>78</v>
      </c>
      <c r="C7" s="72" t="s">
        <v>79</v>
      </c>
      <c r="D7" s="41" t="n">
        <v>2465.7071013476</v>
      </c>
      <c r="E7" s="41" t="n">
        <v>2777.12889417852</v>
      </c>
      <c r="F7" s="42" t="n">
        <v>311.421792830918</v>
      </c>
      <c r="G7" s="43" t="n">
        <v>0.126301210983541</v>
      </c>
      <c r="H7" s="44" t="s">
        <v>14</v>
      </c>
    </row>
    <row r="8" customFormat="false" ht="13.5" hidden="false" customHeight="true" outlineLevel="0" collapsed="false">
      <c r="A8" s="40" t="s">
        <v>52</v>
      </c>
      <c r="B8" s="72" t="s">
        <v>80</v>
      </c>
      <c r="C8" s="72" t="s">
        <v>81</v>
      </c>
      <c r="D8" s="41" t="n">
        <v>12313.875658681</v>
      </c>
      <c r="E8" s="41" t="n">
        <v>16062.3982257157</v>
      </c>
      <c r="F8" s="42" t="n">
        <v>3748.52256703473</v>
      </c>
      <c r="G8" s="43" t="n">
        <v>0.304414521547659</v>
      </c>
      <c r="H8" s="44" t="s">
        <v>14</v>
      </c>
    </row>
    <row r="9" customFormat="false" ht="13.5" hidden="false" customHeight="true" outlineLevel="0" collapsed="false">
      <c r="A9" s="40" t="s">
        <v>32</v>
      </c>
      <c r="B9" s="72" t="s">
        <v>82</v>
      </c>
      <c r="C9" s="72" t="s">
        <v>83</v>
      </c>
      <c r="D9" s="41" t="n">
        <v>27926.241096</v>
      </c>
      <c r="E9" s="41" t="n">
        <v>42485.0832762007</v>
      </c>
      <c r="F9" s="42" t="n">
        <v>14558.8421802007</v>
      </c>
      <c r="G9" s="43" t="n">
        <v>0.521331966237518</v>
      </c>
      <c r="H9" s="44" t="s">
        <v>14</v>
      </c>
    </row>
    <row r="10" customFormat="false" ht="13.5" hidden="false" customHeight="true" outlineLevel="0" collapsed="false">
      <c r="A10" s="66" t="s">
        <v>32</v>
      </c>
      <c r="B10" s="67" t="s">
        <v>84</v>
      </c>
      <c r="C10" s="67" t="s">
        <v>85</v>
      </c>
      <c r="D10" s="68" t="n">
        <v>0</v>
      </c>
      <c r="E10" s="68" t="n">
        <v>13972.4064916343</v>
      </c>
      <c r="F10" s="69" t="n">
        <v>13972.4064916343</v>
      </c>
      <c r="G10" s="70" t="s">
        <v>31</v>
      </c>
      <c r="H10" s="71" t="s">
        <v>16</v>
      </c>
    </row>
    <row r="11" customFormat="false" ht="13.5" hidden="false" customHeight="true" outlineLevel="0" collapsed="false">
      <c r="A11" s="66" t="s">
        <v>32</v>
      </c>
      <c r="B11" s="67" t="s">
        <v>86</v>
      </c>
      <c r="C11" s="67" t="s">
        <v>85</v>
      </c>
      <c r="D11" s="68" t="n">
        <v>0</v>
      </c>
      <c r="E11" s="68" t="n">
        <v>10568.1864355082</v>
      </c>
      <c r="F11" s="69" t="n">
        <v>10568.1864355082</v>
      </c>
      <c r="G11" s="70" t="s">
        <v>31</v>
      </c>
      <c r="H11" s="71" t="s">
        <v>16</v>
      </c>
    </row>
    <row r="12" customFormat="false" ht="13.5" hidden="false" customHeight="true" outlineLevel="0" collapsed="false">
      <c r="A12" s="45" t="s">
        <v>32</v>
      </c>
      <c r="B12" s="73" t="s">
        <v>87</v>
      </c>
      <c r="C12" s="73" t="s">
        <v>83</v>
      </c>
      <c r="D12" s="46" t="n">
        <v>18410.9589036837</v>
      </c>
      <c r="E12" s="46" t="n">
        <v>18410.9589036837</v>
      </c>
      <c r="F12" s="74" t="n">
        <v>0</v>
      </c>
      <c r="G12" s="75" t="n">
        <v>0</v>
      </c>
      <c r="H12" s="45" t="s">
        <v>18</v>
      </c>
    </row>
    <row r="13" customFormat="false" ht="13.5" hidden="false" customHeight="true" outlineLevel="0" collapsed="false">
      <c r="A13" s="45" t="s">
        <v>32</v>
      </c>
      <c r="B13" s="73" t="s">
        <v>88</v>
      </c>
      <c r="C13" s="73" t="s">
        <v>85</v>
      </c>
      <c r="D13" s="46" t="n">
        <v>30379.9078566579</v>
      </c>
      <c r="E13" s="46" t="n">
        <v>30379.9078566579</v>
      </c>
      <c r="F13" s="74" t="n">
        <v>0</v>
      </c>
      <c r="G13" s="75" t="n">
        <v>0</v>
      </c>
      <c r="H13" s="45" t="s">
        <v>18</v>
      </c>
    </row>
    <row r="14" customFormat="false" ht="13.5" hidden="false" customHeight="true" outlineLevel="0" collapsed="false">
      <c r="A14" s="40" t="s">
        <v>29</v>
      </c>
      <c r="B14" s="72" t="s">
        <v>89</v>
      </c>
      <c r="C14" s="72" t="s">
        <v>90</v>
      </c>
      <c r="D14" s="41" t="n">
        <v>4084.33108433333</v>
      </c>
      <c r="E14" s="41" t="n">
        <v>24505.986506</v>
      </c>
      <c r="F14" s="42" t="n">
        <v>20421.6554216667</v>
      </c>
      <c r="G14" s="43" t="n">
        <v>5</v>
      </c>
      <c r="H14" s="44" t="s">
        <v>14</v>
      </c>
    </row>
    <row r="15" customFormat="false" ht="13.5" hidden="false" customHeight="true" outlineLevel="0" collapsed="false">
      <c r="A15" s="40" t="s">
        <v>29</v>
      </c>
      <c r="B15" s="72" t="s">
        <v>91</v>
      </c>
      <c r="C15" s="72" t="s">
        <v>92</v>
      </c>
      <c r="D15" s="41" t="n">
        <v>9965.42446521826</v>
      </c>
      <c r="E15" s="41" t="n">
        <v>26867.2073679683</v>
      </c>
      <c r="F15" s="42" t="n">
        <v>16901.78290275</v>
      </c>
      <c r="G15" s="43" t="n">
        <v>1.69604244773931</v>
      </c>
      <c r="H15" s="44" t="s">
        <v>14</v>
      </c>
    </row>
    <row r="16" customFormat="false" ht="13.5" hidden="false" customHeight="true" outlineLevel="0" collapsed="false">
      <c r="A16" s="40" t="s">
        <v>29</v>
      </c>
      <c r="B16" s="72" t="s">
        <v>93</v>
      </c>
      <c r="C16" s="72" t="s">
        <v>94</v>
      </c>
      <c r="D16" s="41" t="n">
        <v>1567.12212710857</v>
      </c>
      <c r="E16" s="41" t="n">
        <v>9402.73276265143</v>
      </c>
      <c r="F16" s="42" t="n">
        <v>7835.61063554286</v>
      </c>
      <c r="G16" s="43" t="n">
        <v>5</v>
      </c>
      <c r="H16" s="44" t="s">
        <v>14</v>
      </c>
    </row>
    <row r="17" customFormat="false" ht="13.5" hidden="false" customHeight="true" outlineLevel="0" collapsed="false">
      <c r="A17" s="66" t="s">
        <v>29</v>
      </c>
      <c r="B17" s="67" t="s">
        <v>95</v>
      </c>
      <c r="C17" s="67" t="s">
        <v>96</v>
      </c>
      <c r="D17" s="68" t="n">
        <v>0</v>
      </c>
      <c r="E17" s="68" t="n">
        <v>3958.85165882857</v>
      </c>
      <c r="F17" s="69" t="n">
        <v>3958.85165882857</v>
      </c>
      <c r="G17" s="70" t="s">
        <v>31</v>
      </c>
      <c r="H17" s="71" t="s">
        <v>16</v>
      </c>
    </row>
    <row r="18" customFormat="false" ht="13.5" hidden="false" customHeight="true" outlineLevel="0" collapsed="false">
      <c r="A18" s="40" t="s">
        <v>29</v>
      </c>
      <c r="B18" s="72" t="s">
        <v>97</v>
      </c>
      <c r="C18" s="72" t="s">
        <v>98</v>
      </c>
      <c r="D18" s="41" t="n">
        <v>1624.35131706447</v>
      </c>
      <c r="E18" s="41" t="n">
        <v>3016.65292543497</v>
      </c>
      <c r="F18" s="42" t="n">
        <v>1392.3016083705</v>
      </c>
      <c r="G18" s="43" t="n">
        <v>0.857143152311818</v>
      </c>
      <c r="H18" s="44" t="s">
        <v>14</v>
      </c>
    </row>
    <row r="19" customFormat="false" ht="13.5" hidden="false" customHeight="true" outlineLevel="0" collapsed="false">
      <c r="A19" s="66" t="s">
        <v>29</v>
      </c>
      <c r="B19" s="67" t="s">
        <v>99</v>
      </c>
      <c r="C19" s="67" t="s">
        <v>94</v>
      </c>
      <c r="D19" s="68" t="n">
        <v>0</v>
      </c>
      <c r="E19" s="68" t="n">
        <v>1246.14124608</v>
      </c>
      <c r="F19" s="69" t="n">
        <v>1246.14124608</v>
      </c>
      <c r="G19" s="70" t="s">
        <v>31</v>
      </c>
      <c r="H19" s="71" t="s">
        <v>16</v>
      </c>
    </row>
    <row r="20" customFormat="false" ht="13.5" hidden="false" customHeight="true" outlineLevel="0" collapsed="false">
      <c r="A20" s="66" t="s">
        <v>29</v>
      </c>
      <c r="B20" s="67" t="s">
        <v>100</v>
      </c>
      <c r="C20" s="67" t="s">
        <v>101</v>
      </c>
      <c r="D20" s="68" t="n">
        <v>0</v>
      </c>
      <c r="E20" s="68" t="n">
        <v>429.336679341667</v>
      </c>
      <c r="F20" s="69" t="n">
        <v>429.336679341667</v>
      </c>
      <c r="G20" s="70" t="s">
        <v>31</v>
      </c>
      <c r="H20" s="71" t="s">
        <v>16</v>
      </c>
    </row>
    <row r="21" customFormat="false" ht="13.5" hidden="false" customHeight="true" outlineLevel="0" collapsed="false">
      <c r="A21" s="66" t="s">
        <v>29</v>
      </c>
      <c r="B21" s="67" t="s">
        <v>102</v>
      </c>
      <c r="C21" s="67" t="s">
        <v>103</v>
      </c>
      <c r="D21" s="68" t="n">
        <v>0</v>
      </c>
      <c r="E21" s="68" t="n">
        <v>344.701026578512</v>
      </c>
      <c r="F21" s="69" t="n">
        <v>344.701026578512</v>
      </c>
      <c r="G21" s="70" t="s">
        <v>31</v>
      </c>
      <c r="H21" s="71" t="s">
        <v>16</v>
      </c>
    </row>
    <row r="22" customFormat="false" ht="13.5" hidden="false" customHeight="true" outlineLevel="0" collapsed="false">
      <c r="A22" s="45" t="s">
        <v>29</v>
      </c>
      <c r="B22" s="73" t="s">
        <v>104</v>
      </c>
      <c r="C22" s="73" t="s">
        <v>103</v>
      </c>
      <c r="D22" s="46" t="n">
        <v>0</v>
      </c>
      <c r="E22" s="46" t="n">
        <v>0</v>
      </c>
      <c r="F22" s="74" t="n">
        <v>0</v>
      </c>
      <c r="G22" s="48" t="s">
        <v>31</v>
      </c>
      <c r="H22" s="45" t="s">
        <v>18</v>
      </c>
    </row>
    <row r="23" customFormat="false" ht="13.5" hidden="false" customHeight="true" outlineLevel="0" collapsed="false">
      <c r="A23" s="45" t="s">
        <v>29</v>
      </c>
      <c r="B23" s="73" t="s">
        <v>105</v>
      </c>
      <c r="C23" s="73" t="s">
        <v>96</v>
      </c>
      <c r="D23" s="46" t="n">
        <v>2093.43915585417</v>
      </c>
      <c r="E23" s="46" t="n">
        <v>2093.43915585417</v>
      </c>
      <c r="F23" s="74" t="n">
        <v>0</v>
      </c>
      <c r="G23" s="75" t="n">
        <v>0</v>
      </c>
      <c r="H23" s="45" t="s">
        <v>18</v>
      </c>
    </row>
    <row r="24" customFormat="false" ht="13.5" hidden="false" customHeight="true" outlineLevel="0" collapsed="false">
      <c r="A24" s="45" t="s">
        <v>29</v>
      </c>
      <c r="B24" s="73" t="s">
        <v>106</v>
      </c>
      <c r="C24" s="73" t="s">
        <v>103</v>
      </c>
      <c r="D24" s="46" t="n">
        <v>0</v>
      </c>
      <c r="E24" s="46" t="n">
        <v>0</v>
      </c>
      <c r="F24" s="74" t="n">
        <v>0</v>
      </c>
      <c r="G24" s="48" t="s">
        <v>31</v>
      </c>
      <c r="H24" s="45" t="s">
        <v>18</v>
      </c>
    </row>
    <row r="25" customFormat="false" ht="13.5" hidden="false" customHeight="true" outlineLevel="0" collapsed="false">
      <c r="A25" s="45" t="s">
        <v>29</v>
      </c>
      <c r="B25" s="73" t="s">
        <v>107</v>
      </c>
      <c r="C25" s="73" t="s">
        <v>92</v>
      </c>
      <c r="D25" s="46" t="n">
        <v>0</v>
      </c>
      <c r="E25" s="46" t="n">
        <v>0</v>
      </c>
      <c r="F25" s="74" t="n">
        <v>0</v>
      </c>
      <c r="G25" s="48" t="s">
        <v>31</v>
      </c>
      <c r="H25" s="45" t="s">
        <v>18</v>
      </c>
    </row>
    <row r="26" customFormat="false" ht="13.5" hidden="false" customHeight="true" outlineLevel="0" collapsed="false">
      <c r="A26" s="45" t="s">
        <v>29</v>
      </c>
      <c r="B26" s="73" t="s">
        <v>108</v>
      </c>
      <c r="C26" s="73" t="s">
        <v>109</v>
      </c>
      <c r="D26" s="46" t="n">
        <v>1258.24355816842</v>
      </c>
      <c r="E26" s="46" t="n">
        <v>1258.24355816842</v>
      </c>
      <c r="F26" s="74" t="n">
        <v>0</v>
      </c>
      <c r="G26" s="75" t="n">
        <v>0</v>
      </c>
      <c r="H26" s="45" t="s">
        <v>18</v>
      </c>
    </row>
    <row r="27" customFormat="false" ht="13.5" hidden="false" customHeight="true" outlineLevel="0" collapsed="false">
      <c r="A27" s="45" t="s">
        <v>29</v>
      </c>
      <c r="B27" s="73" t="s">
        <v>110</v>
      </c>
      <c r="C27" s="73" t="s">
        <v>111</v>
      </c>
      <c r="D27" s="46" t="n">
        <v>24286.7631982319</v>
      </c>
      <c r="E27" s="46" t="n">
        <v>24286.7631982319</v>
      </c>
      <c r="F27" s="74" t="n">
        <v>0</v>
      </c>
      <c r="G27" s="75" t="n">
        <v>0</v>
      </c>
      <c r="H27" s="45" t="s">
        <v>18</v>
      </c>
    </row>
    <row r="28" customFormat="false" ht="13.5" hidden="false" customHeight="true" outlineLevel="0" collapsed="false">
      <c r="A28" s="45" t="s">
        <v>29</v>
      </c>
      <c r="B28" s="73" t="s">
        <v>112</v>
      </c>
      <c r="C28" s="73" t="s">
        <v>103</v>
      </c>
      <c r="D28" s="46" t="n">
        <v>1140.14480672222</v>
      </c>
      <c r="E28" s="46" t="n">
        <v>1140.14480672222</v>
      </c>
      <c r="F28" s="74" t="n">
        <v>0</v>
      </c>
      <c r="G28" s="75" t="n">
        <v>0</v>
      </c>
      <c r="H28" s="45" t="s">
        <v>18</v>
      </c>
    </row>
    <row r="29" customFormat="false" ht="13.5" hidden="false" customHeight="true" outlineLevel="0" collapsed="false">
      <c r="A29" s="45" t="s">
        <v>29</v>
      </c>
      <c r="B29" s="73" t="s">
        <v>113</v>
      </c>
      <c r="C29" s="73" t="s">
        <v>96</v>
      </c>
      <c r="D29" s="46" t="n">
        <v>0</v>
      </c>
      <c r="E29" s="46" t="n">
        <v>0</v>
      </c>
      <c r="F29" s="74" t="n">
        <v>0</v>
      </c>
      <c r="G29" s="48" t="s">
        <v>31</v>
      </c>
      <c r="H29" s="45" t="s">
        <v>18</v>
      </c>
    </row>
    <row r="30" customFormat="false" ht="13.5" hidden="false" customHeight="true" outlineLevel="0" collapsed="false">
      <c r="A30" s="45" t="s">
        <v>29</v>
      </c>
      <c r="B30" s="73" t="s">
        <v>114</v>
      </c>
      <c r="C30" s="73" t="s">
        <v>115</v>
      </c>
      <c r="D30" s="46" t="n">
        <v>3124.58552168966</v>
      </c>
      <c r="E30" s="46" t="n">
        <v>3124.58552168966</v>
      </c>
      <c r="F30" s="74" t="n">
        <v>0</v>
      </c>
      <c r="G30" s="75" t="n">
        <v>0</v>
      </c>
      <c r="H30" s="45" t="s">
        <v>18</v>
      </c>
    </row>
    <row r="31" customFormat="false" ht="13.5" hidden="false" customHeight="true" outlineLevel="0" collapsed="false">
      <c r="A31" s="45" t="s">
        <v>29</v>
      </c>
      <c r="B31" s="73" t="s">
        <v>116</v>
      </c>
      <c r="C31" s="73" t="s">
        <v>117</v>
      </c>
      <c r="D31" s="46" t="n">
        <v>0</v>
      </c>
      <c r="E31" s="46" t="n">
        <v>0</v>
      </c>
      <c r="F31" s="74" t="n">
        <v>0</v>
      </c>
      <c r="G31" s="48" t="s">
        <v>31</v>
      </c>
      <c r="H31" s="45" t="s">
        <v>18</v>
      </c>
    </row>
    <row r="32" customFormat="false" ht="13.5" hidden="false" customHeight="true" outlineLevel="0" collapsed="false">
      <c r="A32" s="45" t="s">
        <v>29</v>
      </c>
      <c r="B32" s="73" t="s">
        <v>118</v>
      </c>
      <c r="C32" s="73" t="s">
        <v>119</v>
      </c>
      <c r="D32" s="46" t="n">
        <v>0</v>
      </c>
      <c r="E32" s="46" t="n">
        <v>0</v>
      </c>
      <c r="F32" s="74" t="n">
        <v>0</v>
      </c>
      <c r="G32" s="48" t="s">
        <v>31</v>
      </c>
      <c r="H32" s="45" t="s">
        <v>18</v>
      </c>
    </row>
    <row r="33" customFormat="false" ht="13.5" hidden="false" customHeight="true" outlineLevel="0" collapsed="false">
      <c r="A33" s="45" t="s">
        <v>29</v>
      </c>
      <c r="B33" s="73" t="s">
        <v>120</v>
      </c>
      <c r="C33" s="73" t="s">
        <v>121</v>
      </c>
      <c r="D33" s="46" t="n">
        <v>14868.014864</v>
      </c>
      <c r="E33" s="46" t="n">
        <v>14868.014864</v>
      </c>
      <c r="F33" s="74" t="n">
        <v>0</v>
      </c>
      <c r="G33" s="75" t="n">
        <v>0</v>
      </c>
      <c r="H33" s="45" t="s">
        <v>18</v>
      </c>
    </row>
    <row r="34" customFormat="false" ht="13.5" hidden="false" customHeight="true" outlineLevel="0" collapsed="false">
      <c r="A34" s="45" t="s">
        <v>29</v>
      </c>
      <c r="B34" s="73" t="s">
        <v>122</v>
      </c>
      <c r="C34" s="73" t="s">
        <v>115</v>
      </c>
      <c r="D34" s="46" t="n">
        <v>0</v>
      </c>
      <c r="E34" s="46" t="n">
        <v>0</v>
      </c>
      <c r="F34" s="74" t="n">
        <v>0</v>
      </c>
      <c r="G34" s="48" t="s">
        <v>31</v>
      </c>
      <c r="H34" s="45" t="s">
        <v>18</v>
      </c>
    </row>
    <row r="35" customFormat="false" ht="13.5" hidden="false" customHeight="true" outlineLevel="0" collapsed="false">
      <c r="A35" s="45" t="s">
        <v>29</v>
      </c>
      <c r="B35" s="73" t="s">
        <v>123</v>
      </c>
      <c r="C35" s="73" t="s">
        <v>115</v>
      </c>
      <c r="D35" s="46" t="n">
        <v>0</v>
      </c>
      <c r="E35" s="46" t="n">
        <v>0</v>
      </c>
      <c r="F35" s="74" t="n">
        <v>0</v>
      </c>
      <c r="G35" s="48" t="s">
        <v>31</v>
      </c>
      <c r="H35" s="45" t="s">
        <v>18</v>
      </c>
    </row>
    <row r="36" customFormat="false" ht="13.5" hidden="false" customHeight="true" outlineLevel="0" collapsed="false">
      <c r="A36" s="45" t="s">
        <v>29</v>
      </c>
      <c r="B36" s="73" t="s">
        <v>124</v>
      </c>
      <c r="C36" s="73" t="s">
        <v>121</v>
      </c>
      <c r="D36" s="46" t="n">
        <v>5769.82515913043</v>
      </c>
      <c r="E36" s="46" t="n">
        <v>5769.82515913043</v>
      </c>
      <c r="F36" s="74" t="n">
        <v>0</v>
      </c>
      <c r="G36" s="75" t="n">
        <v>0</v>
      </c>
      <c r="H36" s="45" t="s">
        <v>18</v>
      </c>
    </row>
    <row r="37" customFormat="false" ht="13.5" hidden="false" customHeight="true" outlineLevel="0" collapsed="false">
      <c r="A37" s="45" t="s">
        <v>29</v>
      </c>
      <c r="B37" s="73" t="s">
        <v>125</v>
      </c>
      <c r="C37" s="73" t="s">
        <v>126</v>
      </c>
      <c r="D37" s="46" t="n">
        <v>0</v>
      </c>
      <c r="E37" s="46" t="n">
        <v>0</v>
      </c>
      <c r="F37" s="74" t="n">
        <v>0</v>
      </c>
      <c r="G37" s="48" t="s">
        <v>31</v>
      </c>
      <c r="H37" s="45" t="s">
        <v>18</v>
      </c>
    </row>
    <row r="38" customFormat="false" ht="13.5" hidden="false" customHeight="true" outlineLevel="0" collapsed="false">
      <c r="A38" s="45" t="s">
        <v>29</v>
      </c>
      <c r="B38" s="73" t="s">
        <v>127</v>
      </c>
      <c r="C38" s="73" t="s">
        <v>94</v>
      </c>
      <c r="D38" s="46" t="n">
        <v>15365.5046009455</v>
      </c>
      <c r="E38" s="46" t="n">
        <v>15365.5046009455</v>
      </c>
      <c r="F38" s="74" t="n">
        <v>0</v>
      </c>
      <c r="G38" s="75" t="n">
        <v>0</v>
      </c>
      <c r="H38" s="45" t="s">
        <v>18</v>
      </c>
    </row>
    <row r="39" customFormat="false" ht="13.5" hidden="false" customHeight="true" outlineLevel="0" collapsed="false">
      <c r="A39" s="45" t="s">
        <v>29</v>
      </c>
      <c r="B39" s="73" t="s">
        <v>128</v>
      </c>
      <c r="C39" s="73" t="s">
        <v>115</v>
      </c>
      <c r="D39" s="46" t="n">
        <v>0</v>
      </c>
      <c r="E39" s="46" t="n">
        <v>0</v>
      </c>
      <c r="F39" s="74" t="n">
        <v>0</v>
      </c>
      <c r="G39" s="48" t="s">
        <v>31</v>
      </c>
      <c r="H39" s="45" t="s">
        <v>18</v>
      </c>
    </row>
    <row r="40" customFormat="false" ht="13.5" hidden="false" customHeight="true" outlineLevel="0" collapsed="false">
      <c r="A40" s="45" t="s">
        <v>29</v>
      </c>
      <c r="B40" s="73" t="s">
        <v>129</v>
      </c>
      <c r="C40" s="73" t="s">
        <v>121</v>
      </c>
      <c r="D40" s="46" t="n">
        <v>0</v>
      </c>
      <c r="E40" s="46" t="n">
        <v>0</v>
      </c>
      <c r="F40" s="74" t="n">
        <v>0</v>
      </c>
      <c r="G40" s="48" t="s">
        <v>31</v>
      </c>
      <c r="H40" s="45" t="s">
        <v>18</v>
      </c>
    </row>
    <row r="41" customFormat="false" ht="13.5" hidden="false" customHeight="true" outlineLevel="0" collapsed="false">
      <c r="A41" s="49" t="s">
        <v>29</v>
      </c>
      <c r="B41" s="65" t="s">
        <v>130</v>
      </c>
      <c r="C41" s="65" t="s">
        <v>119</v>
      </c>
      <c r="D41" s="50" t="n">
        <v>27306.9679101057</v>
      </c>
      <c r="E41" s="50" t="n">
        <v>15646.3401875851</v>
      </c>
      <c r="F41" s="51" t="n">
        <v>-11660.6277225206</v>
      </c>
      <c r="G41" s="52" t="n">
        <v>-0.427020230181075</v>
      </c>
      <c r="H41" s="53" t="s">
        <v>15</v>
      </c>
    </row>
    <row r="42" customFormat="false" ht="13.5" hidden="false" customHeight="true" outlineLevel="0" collapsed="false">
      <c r="A42" s="40" t="s">
        <v>42</v>
      </c>
      <c r="B42" s="72" t="s">
        <v>131</v>
      </c>
      <c r="C42" s="72" t="s">
        <v>132</v>
      </c>
      <c r="D42" s="41" t="n">
        <v>4764.90476500276</v>
      </c>
      <c r="E42" s="41" t="n">
        <v>19059.619060011</v>
      </c>
      <c r="F42" s="42" t="n">
        <v>14294.7142950083</v>
      </c>
      <c r="G42" s="43" t="n">
        <v>3</v>
      </c>
      <c r="H42" s="44" t="s">
        <v>14</v>
      </c>
    </row>
    <row r="43" customFormat="false" ht="13.5" hidden="false" customHeight="true" outlineLevel="0" collapsed="false">
      <c r="A43" s="45" t="s">
        <v>42</v>
      </c>
      <c r="B43" s="73" t="s">
        <v>133</v>
      </c>
      <c r="C43" s="73" t="s">
        <v>134</v>
      </c>
      <c r="D43" s="46" t="n">
        <v>0</v>
      </c>
      <c r="E43" s="46" t="n">
        <v>0</v>
      </c>
      <c r="F43" s="74" t="n">
        <v>0</v>
      </c>
      <c r="G43" s="48" t="s">
        <v>31</v>
      </c>
      <c r="H43" s="45" t="s">
        <v>18</v>
      </c>
    </row>
    <row r="44" customFormat="false" ht="13.5" hidden="false" customHeight="true" outlineLevel="0" collapsed="false">
      <c r="A44" s="40" t="s">
        <v>36</v>
      </c>
      <c r="B44" s="72" t="s">
        <v>135</v>
      </c>
      <c r="C44" s="72" t="s">
        <v>136</v>
      </c>
      <c r="D44" s="41" t="n">
        <v>49601.9483158447</v>
      </c>
      <c r="E44" s="41" t="n">
        <v>82627.06638425</v>
      </c>
      <c r="F44" s="42" t="n">
        <v>33025.1180684053</v>
      </c>
      <c r="G44" s="43" t="n">
        <v>0.665802840205288</v>
      </c>
      <c r="H44" s="44" t="s">
        <v>14</v>
      </c>
    </row>
    <row r="45" customFormat="false" ht="13.5" hidden="false" customHeight="true" outlineLevel="0" collapsed="false">
      <c r="A45" s="45" t="s">
        <v>36</v>
      </c>
      <c r="B45" s="73" t="s">
        <v>137</v>
      </c>
      <c r="C45" s="73" t="s">
        <v>138</v>
      </c>
      <c r="D45" s="46" t="n">
        <v>9497.578295</v>
      </c>
      <c r="E45" s="46" t="n">
        <v>9497.578295</v>
      </c>
      <c r="F45" s="74" t="n">
        <v>0</v>
      </c>
      <c r="G45" s="75" t="n">
        <v>0</v>
      </c>
      <c r="H45" s="45" t="s">
        <v>18</v>
      </c>
    </row>
    <row r="46" customFormat="false" ht="13.5" hidden="false" customHeight="true" outlineLevel="0" collapsed="false">
      <c r="A46" s="40" t="s">
        <v>48</v>
      </c>
      <c r="B46" s="72" t="s">
        <v>139</v>
      </c>
      <c r="C46" s="72" t="s">
        <v>140</v>
      </c>
      <c r="D46" s="41" t="n">
        <v>27535.7465493216</v>
      </c>
      <c r="E46" s="41" t="n">
        <v>35692.7657959993</v>
      </c>
      <c r="F46" s="42" t="n">
        <v>8157.01924667769</v>
      </c>
      <c r="G46" s="43" t="n">
        <v>0.296233814909175</v>
      </c>
      <c r="H46" s="44" t="s">
        <v>14</v>
      </c>
    </row>
    <row r="47" customFormat="false" ht="13.5" hidden="false" customHeight="true" outlineLevel="0" collapsed="false">
      <c r="A47" s="40" t="s">
        <v>40</v>
      </c>
      <c r="B47" s="72" t="s">
        <v>141</v>
      </c>
      <c r="C47" s="72" t="s">
        <v>142</v>
      </c>
      <c r="D47" s="41" t="n">
        <v>43918.5810670848</v>
      </c>
      <c r="E47" s="41" t="n">
        <v>59403.2967829031</v>
      </c>
      <c r="F47" s="42" t="n">
        <v>15484.7157158183</v>
      </c>
      <c r="G47" s="43" t="n">
        <v>0.352577777778516</v>
      </c>
      <c r="H47" s="44" t="s">
        <v>14</v>
      </c>
    </row>
    <row r="48" customFormat="false" ht="13.5" hidden="false" customHeight="true" outlineLevel="0" collapsed="false">
      <c r="A48" s="40" t="s">
        <v>40</v>
      </c>
      <c r="B48" s="72" t="s">
        <v>143</v>
      </c>
      <c r="C48" s="72" t="s">
        <v>142</v>
      </c>
      <c r="D48" s="41" t="n">
        <v>2284.29491375691</v>
      </c>
      <c r="E48" s="41" t="n">
        <v>7614.31637918971</v>
      </c>
      <c r="F48" s="42" t="n">
        <v>5330.0214654328</v>
      </c>
      <c r="G48" s="43" t="n">
        <v>2.33333333333333</v>
      </c>
      <c r="H48" s="44" t="s">
        <v>14</v>
      </c>
    </row>
    <row r="49" customFormat="false" ht="13.5" hidden="false" customHeight="true" outlineLevel="0" collapsed="false">
      <c r="A49" s="45" t="s">
        <v>40</v>
      </c>
      <c r="B49" s="73" t="s">
        <v>144</v>
      </c>
      <c r="C49" s="73" t="s">
        <v>145</v>
      </c>
      <c r="D49" s="46" t="n">
        <v>9635.48229172331</v>
      </c>
      <c r="E49" s="46" t="n">
        <v>9635.48229172331</v>
      </c>
      <c r="F49" s="74" t="n">
        <v>0</v>
      </c>
      <c r="G49" s="75" t="n">
        <v>0</v>
      </c>
      <c r="H49" s="45" t="s">
        <v>18</v>
      </c>
    </row>
    <row r="50" customFormat="false" ht="13.5" hidden="false" customHeight="true" outlineLevel="0" collapsed="false">
      <c r="A50" s="45" t="s">
        <v>40</v>
      </c>
      <c r="B50" s="73" t="s">
        <v>146</v>
      </c>
      <c r="C50" s="73" t="s">
        <v>147</v>
      </c>
      <c r="D50" s="46" t="n">
        <v>13272.0679188662</v>
      </c>
      <c r="E50" s="46" t="n">
        <v>13272.0679188662</v>
      </c>
      <c r="F50" s="74" t="n">
        <v>0</v>
      </c>
      <c r="G50" s="75" t="n">
        <v>0</v>
      </c>
      <c r="H50" s="45" t="s">
        <v>18</v>
      </c>
    </row>
    <row r="51" customFormat="false" ht="13.5" hidden="false" customHeight="true" outlineLevel="0" collapsed="false">
      <c r="A51" s="45" t="s">
        <v>40</v>
      </c>
      <c r="B51" s="73" t="s">
        <v>148</v>
      </c>
      <c r="C51" s="73" t="s">
        <v>149</v>
      </c>
      <c r="D51" s="46" t="n">
        <v>609.135093701657</v>
      </c>
      <c r="E51" s="46" t="n">
        <v>609.135093701657</v>
      </c>
      <c r="F51" s="74" t="n">
        <v>0</v>
      </c>
      <c r="G51" s="75" t="n">
        <v>0</v>
      </c>
      <c r="H51" s="45" t="s">
        <v>18</v>
      </c>
    </row>
    <row r="52" customFormat="false" ht="13.5" hidden="false" customHeight="true" outlineLevel="0" collapsed="false">
      <c r="A52" s="40" t="s">
        <v>57</v>
      </c>
      <c r="B52" s="72" t="s">
        <v>150</v>
      </c>
      <c r="C52" s="72" t="s">
        <v>151</v>
      </c>
      <c r="D52" s="41" t="n">
        <v>18649.0497142723</v>
      </c>
      <c r="E52" s="41" t="n">
        <v>25954.2609793969</v>
      </c>
      <c r="F52" s="42" t="n">
        <v>7305.21126512462</v>
      </c>
      <c r="G52" s="43" t="n">
        <v>0.391720295513711</v>
      </c>
      <c r="H52" s="44" t="s">
        <v>14</v>
      </c>
    </row>
    <row r="53" customFormat="false" ht="13.5" hidden="false" customHeight="true" outlineLevel="0" collapsed="false">
      <c r="A53" s="45" t="s">
        <v>57</v>
      </c>
      <c r="B53" s="73" t="s">
        <v>152</v>
      </c>
      <c r="C53" s="73" t="s">
        <v>153</v>
      </c>
      <c r="D53" s="46" t="n">
        <v>6623.556762249</v>
      </c>
      <c r="E53" s="46" t="n">
        <v>6623.556762249</v>
      </c>
      <c r="F53" s="74" t="n">
        <v>0</v>
      </c>
      <c r="G53" s="75" t="n">
        <v>0</v>
      </c>
      <c r="H53" s="45" t="s">
        <v>18</v>
      </c>
    </row>
    <row r="54" customFormat="false" ht="13.5" hidden="false" customHeight="true" outlineLevel="0" collapsed="false">
      <c r="A54" s="45" t="s">
        <v>57</v>
      </c>
      <c r="B54" s="73" t="s">
        <v>154</v>
      </c>
      <c r="C54" s="73" t="s">
        <v>155</v>
      </c>
      <c r="D54" s="46" t="n">
        <v>0</v>
      </c>
      <c r="E54" s="46" t="n">
        <v>0</v>
      </c>
      <c r="F54" s="74" t="n">
        <v>0</v>
      </c>
      <c r="G54" s="48" t="s">
        <v>31</v>
      </c>
      <c r="H54" s="45" t="s">
        <v>18</v>
      </c>
    </row>
    <row r="55" customFormat="false" ht="13.5" hidden="false" customHeight="true" outlineLevel="0" collapsed="false">
      <c r="A55" s="49" t="s">
        <v>57</v>
      </c>
      <c r="B55" s="65" t="s">
        <v>156</v>
      </c>
      <c r="C55" s="65" t="s">
        <v>155</v>
      </c>
      <c r="D55" s="50" t="n">
        <v>7048.36231308687</v>
      </c>
      <c r="E55" s="50" t="n">
        <v>6768.98391356522</v>
      </c>
      <c r="F55" s="51" t="n">
        <v>-279.378399521654</v>
      </c>
      <c r="G55" s="52" t="n">
        <v>-0.0396373493744674</v>
      </c>
      <c r="H55" s="53" t="s">
        <v>15</v>
      </c>
    </row>
    <row r="56" customFormat="false" ht="13.5" hidden="false" customHeight="true" outlineLevel="0" collapsed="false">
      <c r="A56" s="54" t="s">
        <v>57</v>
      </c>
      <c r="B56" s="76" t="s">
        <v>157</v>
      </c>
      <c r="C56" s="76" t="s">
        <v>158</v>
      </c>
      <c r="D56" s="55" t="n">
        <v>16384.1035260127</v>
      </c>
      <c r="E56" s="55" t="n">
        <v>0</v>
      </c>
      <c r="F56" s="56" t="n">
        <v>-16384.1035260127</v>
      </c>
      <c r="G56" s="57" t="n">
        <v>-1</v>
      </c>
      <c r="H56" s="58" t="s">
        <v>17</v>
      </c>
    </row>
    <row r="57" customFormat="false" ht="13.5" hidden="false" customHeight="true" outlineLevel="0" collapsed="false">
      <c r="A57" s="66" t="s">
        <v>34</v>
      </c>
      <c r="B57" s="67" t="s">
        <v>159</v>
      </c>
      <c r="C57" s="67" t="s">
        <v>160</v>
      </c>
      <c r="D57" s="68" t="n">
        <v>0</v>
      </c>
      <c r="E57" s="68" t="n">
        <v>16586.8906299882</v>
      </c>
      <c r="F57" s="69" t="n">
        <v>16586.8906299882</v>
      </c>
      <c r="G57" s="70" t="s">
        <v>31</v>
      </c>
      <c r="H57" s="71" t="s">
        <v>16</v>
      </c>
    </row>
    <row r="58" customFormat="false" ht="13.5" hidden="false" customHeight="true" outlineLevel="0" collapsed="false">
      <c r="A58" s="66" t="s">
        <v>34</v>
      </c>
      <c r="B58" s="67" t="s">
        <v>161</v>
      </c>
      <c r="C58" s="67" t="s">
        <v>162</v>
      </c>
      <c r="D58" s="68" t="n">
        <v>0</v>
      </c>
      <c r="E58" s="68" t="n">
        <v>9428.57142813044</v>
      </c>
      <c r="F58" s="69" t="n">
        <v>9428.57142813044</v>
      </c>
      <c r="G58" s="70" t="s">
        <v>31</v>
      </c>
      <c r="H58" s="71" t="s">
        <v>16</v>
      </c>
    </row>
    <row r="59" customFormat="false" ht="13.5" hidden="false" customHeight="true" outlineLevel="0" collapsed="false">
      <c r="A59" s="66" t="s">
        <v>34</v>
      </c>
      <c r="B59" s="67" t="s">
        <v>163</v>
      </c>
      <c r="C59" s="67" t="s">
        <v>164</v>
      </c>
      <c r="D59" s="68" t="n">
        <v>0</v>
      </c>
      <c r="E59" s="68" t="n">
        <v>7713.98068071886</v>
      </c>
      <c r="F59" s="69" t="n">
        <v>7713.98068071886</v>
      </c>
      <c r="G59" s="70" t="s">
        <v>31</v>
      </c>
      <c r="H59" s="71" t="s">
        <v>16</v>
      </c>
    </row>
    <row r="60" customFormat="false" ht="13.5" hidden="false" customHeight="true" outlineLevel="0" collapsed="false">
      <c r="A60" s="66" t="s">
        <v>34</v>
      </c>
      <c r="B60" s="67" t="s">
        <v>165</v>
      </c>
      <c r="C60" s="67" t="s">
        <v>166</v>
      </c>
      <c r="D60" s="68" t="n">
        <v>0</v>
      </c>
      <c r="E60" s="68" t="n">
        <v>7151.10676535762</v>
      </c>
      <c r="F60" s="69" t="n">
        <v>7151.10676535762</v>
      </c>
      <c r="G60" s="70" t="s">
        <v>31</v>
      </c>
      <c r="H60" s="71" t="s">
        <v>16</v>
      </c>
    </row>
    <row r="61" customFormat="false" ht="13.5" hidden="false" customHeight="true" outlineLevel="0" collapsed="false">
      <c r="A61" s="66" t="s">
        <v>34</v>
      </c>
      <c r="B61" s="67" t="s">
        <v>167</v>
      </c>
      <c r="C61" s="67" t="s">
        <v>168</v>
      </c>
      <c r="D61" s="68" t="n">
        <v>0</v>
      </c>
      <c r="E61" s="68" t="n">
        <v>7048.96262984252</v>
      </c>
      <c r="F61" s="69" t="n">
        <v>7048.96262984252</v>
      </c>
      <c r="G61" s="70" t="s">
        <v>31</v>
      </c>
      <c r="H61" s="71" t="s">
        <v>16</v>
      </c>
    </row>
    <row r="62" customFormat="false" ht="13.5" hidden="false" customHeight="true" outlineLevel="0" collapsed="false">
      <c r="A62" s="40" t="s">
        <v>34</v>
      </c>
      <c r="B62" s="72" t="s">
        <v>169</v>
      </c>
      <c r="C62" s="72" t="s">
        <v>170</v>
      </c>
      <c r="D62" s="41" t="n">
        <v>5678.57142851214</v>
      </c>
      <c r="E62" s="41" t="n">
        <v>11357.1428570243</v>
      </c>
      <c r="F62" s="42" t="n">
        <v>5678.57142851214</v>
      </c>
      <c r="G62" s="43" t="n">
        <v>1</v>
      </c>
      <c r="H62" s="44" t="s">
        <v>14</v>
      </c>
    </row>
    <row r="63" customFormat="false" ht="13.5" hidden="false" customHeight="true" outlineLevel="0" collapsed="false">
      <c r="A63" s="40" t="s">
        <v>34</v>
      </c>
      <c r="B63" s="72" t="s">
        <v>171</v>
      </c>
      <c r="C63" s="72" t="s">
        <v>160</v>
      </c>
      <c r="D63" s="41" t="n">
        <v>4098.5278078855</v>
      </c>
      <c r="E63" s="41" t="n">
        <v>8197.05561577099</v>
      </c>
      <c r="F63" s="42" t="n">
        <v>4098.5278078855</v>
      </c>
      <c r="G63" s="43" t="n">
        <v>1</v>
      </c>
      <c r="H63" s="44" t="s">
        <v>14</v>
      </c>
    </row>
    <row r="64" customFormat="false" ht="13.5" hidden="false" customHeight="true" outlineLevel="0" collapsed="false">
      <c r="A64" s="45" t="s">
        <v>34</v>
      </c>
      <c r="B64" s="73" t="s">
        <v>172</v>
      </c>
      <c r="C64" s="73" t="s">
        <v>160</v>
      </c>
      <c r="D64" s="46" t="n">
        <v>4625.07122462393</v>
      </c>
      <c r="E64" s="46" t="n">
        <v>4625.07122462393</v>
      </c>
      <c r="F64" s="74" t="n">
        <v>0</v>
      </c>
      <c r="G64" s="75" t="n">
        <v>0</v>
      </c>
      <c r="H64" s="45" t="s">
        <v>18</v>
      </c>
    </row>
    <row r="65" customFormat="false" ht="13.5" hidden="false" customHeight="true" outlineLevel="0" collapsed="false">
      <c r="A65" s="45" t="s">
        <v>34</v>
      </c>
      <c r="B65" s="73" t="s">
        <v>173</v>
      </c>
      <c r="C65" s="73" t="s">
        <v>174</v>
      </c>
      <c r="D65" s="46" t="n">
        <v>25016.1290337097</v>
      </c>
      <c r="E65" s="46" t="n">
        <v>25016.1290337097</v>
      </c>
      <c r="F65" s="74" t="n">
        <v>0</v>
      </c>
      <c r="G65" s="75" t="n">
        <v>0</v>
      </c>
      <c r="H65" s="45" t="s">
        <v>18</v>
      </c>
    </row>
    <row r="66" customFormat="false" ht="13.5" hidden="false" customHeight="true" outlineLevel="0" collapsed="false">
      <c r="A66" s="45" t="s">
        <v>34</v>
      </c>
      <c r="B66" s="73" t="s">
        <v>175</v>
      </c>
      <c r="C66" s="73" t="s">
        <v>176</v>
      </c>
      <c r="D66" s="46" t="n">
        <v>8174.43609178948</v>
      </c>
      <c r="E66" s="46" t="n">
        <v>8174.43609178948</v>
      </c>
      <c r="F66" s="74" t="n">
        <v>0</v>
      </c>
      <c r="G66" s="75" t="n">
        <v>0</v>
      </c>
      <c r="H66" s="45" t="s">
        <v>18</v>
      </c>
    </row>
    <row r="67" customFormat="false" ht="13.5" hidden="false" customHeight="true" outlineLevel="0" collapsed="false">
      <c r="A67" s="45" t="s">
        <v>34</v>
      </c>
      <c r="B67" s="73" t="s">
        <v>177</v>
      </c>
      <c r="C67" s="73" t="s">
        <v>178</v>
      </c>
      <c r="D67" s="46" t="n">
        <v>22277.8378381622</v>
      </c>
      <c r="E67" s="46" t="n">
        <v>22277.8378381622</v>
      </c>
      <c r="F67" s="74" t="n">
        <v>0</v>
      </c>
      <c r="G67" s="75" t="n">
        <v>0</v>
      </c>
      <c r="H67" s="45" t="s">
        <v>18</v>
      </c>
    </row>
    <row r="68" customFormat="false" ht="13.5" hidden="false" customHeight="true" outlineLevel="0" collapsed="false">
      <c r="A68" s="45" t="s">
        <v>34</v>
      </c>
      <c r="B68" s="73" t="s">
        <v>179</v>
      </c>
      <c r="C68" s="73" t="s">
        <v>180</v>
      </c>
      <c r="D68" s="46" t="n">
        <v>0</v>
      </c>
      <c r="E68" s="46" t="n">
        <v>0</v>
      </c>
      <c r="F68" s="74" t="n">
        <v>0</v>
      </c>
      <c r="G68" s="48" t="s">
        <v>31</v>
      </c>
      <c r="H68" s="45" t="s">
        <v>18</v>
      </c>
    </row>
    <row r="69" customFormat="false" ht="13.5" hidden="false" customHeight="true" outlineLevel="0" collapsed="false">
      <c r="A69" s="45" t="s">
        <v>34</v>
      </c>
      <c r="B69" s="73" t="s">
        <v>181</v>
      </c>
      <c r="C69" s="73" t="s">
        <v>178</v>
      </c>
      <c r="D69" s="46" t="n">
        <v>18514.2857152</v>
      </c>
      <c r="E69" s="46" t="n">
        <v>18514.2857152</v>
      </c>
      <c r="F69" s="74" t="n">
        <v>0</v>
      </c>
      <c r="G69" s="75" t="n">
        <v>0</v>
      </c>
      <c r="H69" s="45" t="s">
        <v>18</v>
      </c>
    </row>
    <row r="70" customFormat="false" ht="13.5" hidden="false" customHeight="true" outlineLevel="0" collapsed="false">
      <c r="A70" s="45" t="s">
        <v>34</v>
      </c>
      <c r="B70" s="73" t="s">
        <v>182</v>
      </c>
      <c r="C70" s="73" t="s">
        <v>178</v>
      </c>
      <c r="D70" s="46" t="n">
        <v>8428.57142980488</v>
      </c>
      <c r="E70" s="46" t="n">
        <v>8428.57142980488</v>
      </c>
      <c r="F70" s="74" t="n">
        <v>0</v>
      </c>
      <c r="G70" s="75" t="n">
        <v>0</v>
      </c>
      <c r="H70" s="45" t="s">
        <v>18</v>
      </c>
    </row>
    <row r="71" customFormat="false" ht="13.5" hidden="false" customHeight="true" outlineLevel="0" collapsed="false">
      <c r="A71" s="45" t="s">
        <v>34</v>
      </c>
      <c r="B71" s="73" t="s">
        <v>183</v>
      </c>
      <c r="C71" s="73" t="s">
        <v>184</v>
      </c>
      <c r="D71" s="46" t="n">
        <v>11408.9265274484</v>
      </c>
      <c r="E71" s="46" t="n">
        <v>11408.9265274484</v>
      </c>
      <c r="F71" s="74" t="n">
        <v>0</v>
      </c>
      <c r="G71" s="75" t="n">
        <v>0</v>
      </c>
      <c r="H71" s="45" t="s">
        <v>18</v>
      </c>
    </row>
    <row r="72" customFormat="false" ht="13.5" hidden="false" customHeight="true" outlineLevel="0" collapsed="false">
      <c r="A72" s="49" t="s">
        <v>34</v>
      </c>
      <c r="B72" s="65" t="s">
        <v>185</v>
      </c>
      <c r="C72" s="65" t="s">
        <v>178</v>
      </c>
      <c r="D72" s="50" t="n">
        <v>36309.5238108333</v>
      </c>
      <c r="E72" s="50" t="n">
        <v>9682.53968288889</v>
      </c>
      <c r="F72" s="51" t="n">
        <v>-26626.9841279444</v>
      </c>
      <c r="G72" s="52" t="n">
        <v>-0.733333333333333</v>
      </c>
      <c r="H72" s="53" t="s">
        <v>15</v>
      </c>
    </row>
    <row r="73" customFormat="false" ht="13.5" hidden="false" customHeight="true" outlineLevel="0" collapsed="false">
      <c r="A73" s="66" t="s">
        <v>38</v>
      </c>
      <c r="B73" s="67" t="s">
        <v>186</v>
      </c>
      <c r="C73" s="67" t="s">
        <v>187</v>
      </c>
      <c r="D73" s="68" t="n">
        <v>0</v>
      </c>
      <c r="E73" s="68" t="n">
        <v>13331.1099140234</v>
      </c>
      <c r="F73" s="69" t="n">
        <v>13331.1099140234</v>
      </c>
      <c r="G73" s="70" t="s">
        <v>31</v>
      </c>
      <c r="H73" s="71" t="s">
        <v>16</v>
      </c>
    </row>
    <row r="74" customFormat="false" ht="13.5" hidden="false" customHeight="true" outlineLevel="0" collapsed="false">
      <c r="A74" s="66" t="s">
        <v>38</v>
      </c>
      <c r="B74" s="67" t="s">
        <v>188</v>
      </c>
      <c r="C74" s="67" t="s">
        <v>189</v>
      </c>
      <c r="D74" s="68" t="n">
        <v>0</v>
      </c>
      <c r="E74" s="68" t="n">
        <v>9197.60535149038</v>
      </c>
      <c r="F74" s="69" t="n">
        <v>9197.60535149038</v>
      </c>
      <c r="G74" s="70" t="s">
        <v>31</v>
      </c>
      <c r="H74" s="71" t="s">
        <v>16</v>
      </c>
    </row>
    <row r="75" customFormat="false" ht="13.5" hidden="false" customHeight="true" outlineLevel="0" collapsed="false">
      <c r="A75" s="66" t="s">
        <v>38</v>
      </c>
      <c r="B75" s="67" t="s">
        <v>190</v>
      </c>
      <c r="C75" s="67" t="s">
        <v>189</v>
      </c>
      <c r="D75" s="68" t="n">
        <v>0</v>
      </c>
      <c r="E75" s="68" t="n">
        <v>8822.76484936018</v>
      </c>
      <c r="F75" s="69" t="n">
        <v>8822.76484936018</v>
      </c>
      <c r="G75" s="70" t="s">
        <v>31</v>
      </c>
      <c r="H75" s="71" t="s">
        <v>16</v>
      </c>
    </row>
    <row r="76" customFormat="false" ht="13.5" hidden="false" customHeight="true" outlineLevel="0" collapsed="false">
      <c r="A76" s="66" t="s">
        <v>38</v>
      </c>
      <c r="B76" s="67" t="s">
        <v>191</v>
      </c>
      <c r="C76" s="67" t="s">
        <v>192</v>
      </c>
      <c r="D76" s="68" t="n">
        <v>0</v>
      </c>
      <c r="E76" s="68" t="n">
        <v>5458.283458</v>
      </c>
      <c r="F76" s="69" t="n">
        <v>5458.283458</v>
      </c>
      <c r="G76" s="70" t="s">
        <v>31</v>
      </c>
      <c r="H76" s="71" t="s">
        <v>16</v>
      </c>
    </row>
    <row r="77" customFormat="false" ht="13.5" hidden="false" customHeight="true" outlineLevel="0" collapsed="false">
      <c r="A77" s="45" t="s">
        <v>38</v>
      </c>
      <c r="B77" s="73" t="s">
        <v>193</v>
      </c>
      <c r="C77" s="73" t="s">
        <v>194</v>
      </c>
      <c r="D77" s="46" t="n">
        <v>0</v>
      </c>
      <c r="E77" s="46" t="n">
        <v>0</v>
      </c>
      <c r="F77" s="74" t="n">
        <v>0</v>
      </c>
      <c r="G77" s="48" t="s">
        <v>31</v>
      </c>
      <c r="H77" s="45" t="s">
        <v>18</v>
      </c>
    </row>
    <row r="78" customFormat="false" ht="13.5" hidden="false" customHeight="true" outlineLevel="0" collapsed="false">
      <c r="A78" s="45" t="s">
        <v>38</v>
      </c>
      <c r="B78" s="73" t="s">
        <v>195</v>
      </c>
      <c r="C78" s="73" t="s">
        <v>189</v>
      </c>
      <c r="D78" s="46" t="n">
        <v>3381.00338097959</v>
      </c>
      <c r="E78" s="46" t="n">
        <v>3381.00338097959</v>
      </c>
      <c r="F78" s="74" t="n">
        <v>0</v>
      </c>
      <c r="G78" s="75" t="n">
        <v>0</v>
      </c>
      <c r="H78" s="45" t="s">
        <v>18</v>
      </c>
    </row>
    <row r="79" customFormat="false" ht="13.5" hidden="false" customHeight="true" outlineLevel="0" collapsed="false">
      <c r="A79" s="45" t="s">
        <v>38</v>
      </c>
      <c r="B79" s="73" t="s">
        <v>196</v>
      </c>
      <c r="C79" s="73" t="s">
        <v>189</v>
      </c>
      <c r="D79" s="46" t="n">
        <v>0</v>
      </c>
      <c r="E79" s="46" t="n">
        <v>0</v>
      </c>
      <c r="F79" s="74" t="n">
        <v>0</v>
      </c>
      <c r="G79" s="48" t="s">
        <v>31</v>
      </c>
      <c r="H79" s="45" t="s">
        <v>18</v>
      </c>
    </row>
    <row r="80" customFormat="false" ht="13.5" hidden="false" customHeight="true" outlineLevel="0" collapsed="false">
      <c r="A80" s="49" t="s">
        <v>38</v>
      </c>
      <c r="B80" s="65" t="s">
        <v>197</v>
      </c>
      <c r="C80" s="65" t="s">
        <v>187</v>
      </c>
      <c r="D80" s="50" t="n">
        <v>28258.9434807785</v>
      </c>
      <c r="E80" s="50" t="n">
        <v>11144.3043664224</v>
      </c>
      <c r="F80" s="51" t="n">
        <v>-17114.639114356</v>
      </c>
      <c r="G80" s="52" t="n">
        <v>-0.605636198890354</v>
      </c>
      <c r="H80" s="53" t="s">
        <v>15</v>
      </c>
    </row>
    <row r="81" customFormat="false" ht="13.5" hidden="false" customHeight="true" outlineLevel="0" collapsed="false">
      <c r="A81" s="40" t="s">
        <v>44</v>
      </c>
      <c r="B81" s="72" t="s">
        <v>198</v>
      </c>
      <c r="C81" s="72" t="s">
        <v>199</v>
      </c>
      <c r="D81" s="41" t="n">
        <v>54362.7753162892</v>
      </c>
      <c r="E81" s="41" t="n">
        <v>68329.5995108488</v>
      </c>
      <c r="F81" s="42" t="n">
        <v>13966.8241945595</v>
      </c>
      <c r="G81" s="43" t="n">
        <v>0.256918895573283</v>
      </c>
      <c r="H81" s="44" t="s">
        <v>14</v>
      </c>
    </row>
    <row r="82" customFormat="false" ht="13.5" hidden="false" customHeight="true" outlineLevel="0" collapsed="false">
      <c r="A82" s="40" t="s">
        <v>46</v>
      </c>
      <c r="B82" s="72" t="s">
        <v>200</v>
      </c>
      <c r="C82" s="72" t="s">
        <v>81</v>
      </c>
      <c r="D82" s="41" t="n">
        <v>20526.0596395628</v>
      </c>
      <c r="E82" s="41" t="n">
        <v>32570.27645286</v>
      </c>
      <c r="F82" s="42" t="n">
        <v>12044.2168132972</v>
      </c>
      <c r="G82" s="43" t="n">
        <v>0.586776859504132</v>
      </c>
      <c r="H82" s="44" t="s">
        <v>14</v>
      </c>
    </row>
    <row r="83" customFormat="false" ht="19.5" hidden="false" customHeight="true" outlineLevel="0" collapsed="false">
      <c r="A83" s="59" t="s">
        <v>68</v>
      </c>
      <c r="B83" s="59"/>
      <c r="C83" s="59"/>
      <c r="D83" s="60" t="n">
        <f aca="false">SUM(D4:D82)</f>
        <v>679812.327568325</v>
      </c>
      <c r="E83" s="60" t="n">
        <f aca="false">SUM(E4:E82)</f>
        <v>909204.976967287</v>
      </c>
      <c r="F83" s="60" t="n">
        <f aca="false">SUM(F4:F82)</f>
        <v>229392.649398961</v>
      </c>
      <c r="G83" s="59"/>
      <c r="H83" s="59"/>
    </row>
  </sheetData>
  <mergeCells count="3">
    <mergeCell ref="A1:H1"/>
    <mergeCell ref="A2:H2"/>
    <mergeCell ref="A83:C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6" min="5" style="0" width="20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77" t="s">
        <v>201</v>
      </c>
      <c r="B1" s="77"/>
      <c r="C1" s="77"/>
      <c r="D1" s="77"/>
      <c r="E1" s="77"/>
      <c r="F1" s="77"/>
      <c r="G1" s="77"/>
      <c r="H1" s="77"/>
      <c r="I1" s="77"/>
    </row>
    <row r="2" customFormat="false" ht="13.5" hidden="false" customHeight="true" outlineLevel="0" collapsed="false">
      <c r="A2" s="78" t="s">
        <v>202</v>
      </c>
      <c r="B2" s="78"/>
      <c r="C2" s="78"/>
      <c r="D2" s="78"/>
      <c r="E2" s="78"/>
      <c r="F2" s="78"/>
      <c r="G2" s="78"/>
      <c r="H2" s="78"/>
      <c r="I2" s="78"/>
    </row>
    <row r="3" customFormat="false" ht="24" hidden="false" customHeight="true" outlineLevel="0" collapsed="false">
      <c r="A3" s="38" t="s">
        <v>24</v>
      </c>
      <c r="B3" s="38" t="s">
        <v>71</v>
      </c>
      <c r="C3" s="38" t="s">
        <v>203</v>
      </c>
      <c r="D3" s="38" t="s">
        <v>204</v>
      </c>
      <c r="E3" s="38" t="s">
        <v>27</v>
      </c>
      <c r="F3" s="38" t="s">
        <v>28</v>
      </c>
      <c r="G3" s="38" t="s">
        <v>6</v>
      </c>
      <c r="H3" s="38" t="s">
        <v>7</v>
      </c>
      <c r="I3" s="38" t="s">
        <v>12</v>
      </c>
    </row>
    <row r="4" customFormat="false" ht="13.5" hidden="false" customHeight="true" outlineLevel="0" collapsed="false">
      <c r="A4" s="45" t="s">
        <v>33</v>
      </c>
      <c r="B4" s="73" t="s">
        <v>205</v>
      </c>
      <c r="C4" s="73" t="s">
        <v>206</v>
      </c>
      <c r="D4" s="73" t="s">
        <v>207</v>
      </c>
      <c r="E4" s="46" t="n">
        <v>1737.650237</v>
      </c>
      <c r="F4" s="46" t="n">
        <v>1737.650237</v>
      </c>
      <c r="G4" s="74" t="n">
        <v>0</v>
      </c>
      <c r="H4" s="75" t="n">
        <v>0</v>
      </c>
      <c r="I4" s="45" t="s">
        <v>18</v>
      </c>
    </row>
    <row r="5" customFormat="false" ht="13.5" hidden="false" customHeight="true" outlineLevel="0" collapsed="false">
      <c r="A5" s="45" t="s">
        <v>33</v>
      </c>
      <c r="B5" s="73" t="s">
        <v>208</v>
      </c>
      <c r="C5" s="73" t="s">
        <v>206</v>
      </c>
      <c r="D5" s="73" t="s">
        <v>207</v>
      </c>
      <c r="E5" s="46" t="n">
        <v>0</v>
      </c>
      <c r="F5" s="46" t="n">
        <v>0</v>
      </c>
      <c r="G5" s="74" t="n">
        <v>0</v>
      </c>
      <c r="H5" s="48" t="s">
        <v>31</v>
      </c>
      <c r="I5" s="45" t="s">
        <v>18</v>
      </c>
    </row>
    <row r="6" customFormat="false" ht="13.5" hidden="false" customHeight="true" outlineLevel="0" collapsed="false">
      <c r="A6" s="54" t="s">
        <v>33</v>
      </c>
      <c r="B6" s="76" t="s">
        <v>209</v>
      </c>
      <c r="C6" s="76" t="s">
        <v>206</v>
      </c>
      <c r="D6" s="76" t="s">
        <v>207</v>
      </c>
      <c r="E6" s="55" t="n">
        <v>986.746776105263</v>
      </c>
      <c r="F6" s="55" t="n">
        <v>0</v>
      </c>
      <c r="G6" s="56" t="n">
        <v>-986.746776105263</v>
      </c>
      <c r="H6" s="57" t="n">
        <v>-1</v>
      </c>
      <c r="I6" s="58" t="s">
        <v>17</v>
      </c>
    </row>
    <row r="7" customFormat="false" ht="13.5" hidden="false" customHeight="true" outlineLevel="0" collapsed="false">
      <c r="A7" s="45" t="s">
        <v>58</v>
      </c>
      <c r="B7" s="73" t="s">
        <v>210</v>
      </c>
      <c r="C7" s="73" t="s">
        <v>210</v>
      </c>
      <c r="D7" s="73" t="s">
        <v>210</v>
      </c>
      <c r="E7" s="46" t="n">
        <v>0</v>
      </c>
      <c r="F7" s="46" t="n">
        <v>0</v>
      </c>
      <c r="G7" s="74" t="n">
        <v>0</v>
      </c>
      <c r="H7" s="48" t="s">
        <v>31</v>
      </c>
      <c r="I7" s="45" t="s">
        <v>18</v>
      </c>
    </row>
    <row r="8" customFormat="false" ht="13.5" hidden="false" customHeight="true" outlineLevel="0" collapsed="false">
      <c r="A8" s="45" t="s">
        <v>58</v>
      </c>
      <c r="B8" s="73" t="s">
        <v>211</v>
      </c>
      <c r="C8" s="73" t="s">
        <v>212</v>
      </c>
      <c r="D8" s="73" t="s">
        <v>213</v>
      </c>
      <c r="E8" s="46" t="n">
        <v>4712.57271216807</v>
      </c>
      <c r="F8" s="46" t="n">
        <v>4712.57271216807</v>
      </c>
      <c r="G8" s="74" t="n">
        <v>0</v>
      </c>
      <c r="H8" s="75" t="n">
        <v>0</v>
      </c>
      <c r="I8" s="45" t="s">
        <v>18</v>
      </c>
    </row>
    <row r="9" customFormat="false" ht="13.5" hidden="false" customHeight="true" outlineLevel="0" collapsed="false">
      <c r="A9" s="49" t="s">
        <v>58</v>
      </c>
      <c r="B9" s="65" t="s">
        <v>214</v>
      </c>
      <c r="C9" s="65" t="s">
        <v>212</v>
      </c>
      <c r="D9" s="65" t="s">
        <v>213</v>
      </c>
      <c r="E9" s="50" t="n">
        <v>8418.27541723546</v>
      </c>
      <c r="F9" s="50" t="n">
        <v>7322.74591771429</v>
      </c>
      <c r="G9" s="51" t="n">
        <v>-1095.52949952118</v>
      </c>
      <c r="H9" s="52" t="n">
        <v>-0.130137046511713</v>
      </c>
      <c r="I9" s="53" t="s">
        <v>15</v>
      </c>
    </row>
    <row r="10" customFormat="false" ht="13.5" hidden="false" customHeight="true" outlineLevel="0" collapsed="false">
      <c r="A10" s="54" t="s">
        <v>58</v>
      </c>
      <c r="B10" s="76" t="s">
        <v>215</v>
      </c>
      <c r="C10" s="76" t="s">
        <v>216</v>
      </c>
      <c r="D10" s="76" t="s">
        <v>217</v>
      </c>
      <c r="E10" s="55" t="n">
        <v>2087.0030865</v>
      </c>
      <c r="F10" s="55" t="n">
        <v>0</v>
      </c>
      <c r="G10" s="56" t="n">
        <v>-2087.0030865</v>
      </c>
      <c r="H10" s="57" t="n">
        <v>-1</v>
      </c>
      <c r="I10" s="58" t="s">
        <v>17</v>
      </c>
    </row>
    <row r="11" customFormat="false" ht="13.5" hidden="false" customHeight="true" outlineLevel="0" collapsed="false">
      <c r="A11" s="54" t="s">
        <v>58</v>
      </c>
      <c r="B11" s="76" t="s">
        <v>218</v>
      </c>
      <c r="C11" s="76" t="s">
        <v>219</v>
      </c>
      <c r="D11" s="76" t="s">
        <v>213</v>
      </c>
      <c r="E11" s="55" t="n">
        <v>2398.25361562162</v>
      </c>
      <c r="F11" s="55" t="n">
        <v>0</v>
      </c>
      <c r="G11" s="56" t="n">
        <v>-2398.25361562162</v>
      </c>
      <c r="H11" s="57" t="n">
        <v>-1</v>
      </c>
      <c r="I11" s="58" t="s">
        <v>17</v>
      </c>
    </row>
    <row r="12" customFormat="false" ht="13.5" hidden="false" customHeight="true" outlineLevel="0" collapsed="false">
      <c r="A12" s="49" t="s">
        <v>58</v>
      </c>
      <c r="B12" s="65" t="s">
        <v>75</v>
      </c>
      <c r="C12" s="65" t="s">
        <v>74</v>
      </c>
      <c r="D12" s="65" t="s">
        <v>213</v>
      </c>
      <c r="E12" s="50" t="n">
        <v>9806.2599374256</v>
      </c>
      <c r="F12" s="50" t="n">
        <v>6524.25686552083</v>
      </c>
      <c r="G12" s="51" t="n">
        <v>-3282.00307190476</v>
      </c>
      <c r="H12" s="52" t="n">
        <v>-0.334684486526713</v>
      </c>
      <c r="I12" s="53" t="s">
        <v>15</v>
      </c>
    </row>
    <row r="13" customFormat="false" ht="13.5" hidden="false" customHeight="true" outlineLevel="0" collapsed="false">
      <c r="A13" s="54" t="s">
        <v>58</v>
      </c>
      <c r="B13" s="76" t="s">
        <v>220</v>
      </c>
      <c r="C13" s="76" t="s">
        <v>221</v>
      </c>
      <c r="D13" s="76" t="s">
        <v>222</v>
      </c>
      <c r="E13" s="55" t="n">
        <v>6734.55926782222</v>
      </c>
      <c r="F13" s="55" t="n">
        <v>0</v>
      </c>
      <c r="G13" s="56" t="n">
        <v>-6734.55926782222</v>
      </c>
      <c r="H13" s="57" t="n">
        <v>-1</v>
      </c>
      <c r="I13" s="58" t="s">
        <v>17</v>
      </c>
    </row>
    <row r="14" customFormat="false" ht="13.5" hidden="false" customHeight="true" outlineLevel="0" collapsed="false">
      <c r="A14" s="49" t="s">
        <v>58</v>
      </c>
      <c r="B14" s="65" t="s">
        <v>73</v>
      </c>
      <c r="C14" s="65" t="s">
        <v>74</v>
      </c>
      <c r="D14" s="65" t="s">
        <v>213</v>
      </c>
      <c r="E14" s="50" t="n">
        <v>11385.9492197299</v>
      </c>
      <c r="F14" s="50" t="n">
        <v>3097.5022225</v>
      </c>
      <c r="G14" s="51" t="n">
        <v>-8288.44699722989</v>
      </c>
      <c r="H14" s="52" t="n">
        <v>-0.727953975314367</v>
      </c>
      <c r="I14" s="53" t="s">
        <v>15</v>
      </c>
    </row>
    <row r="15" customFormat="false" ht="13.5" hidden="false" customHeight="true" outlineLevel="0" collapsed="false">
      <c r="A15" s="54" t="s">
        <v>47</v>
      </c>
      <c r="B15" s="76" t="s">
        <v>210</v>
      </c>
      <c r="C15" s="76" t="s">
        <v>210</v>
      </c>
      <c r="D15" s="76" t="s">
        <v>210</v>
      </c>
      <c r="E15" s="55" t="n">
        <v>7809.36422566098</v>
      </c>
      <c r="F15" s="55" t="n">
        <v>0</v>
      </c>
      <c r="G15" s="56" t="n">
        <v>-7809.36422566098</v>
      </c>
      <c r="H15" s="57" t="n">
        <v>-1</v>
      </c>
      <c r="I15" s="58" t="s">
        <v>17</v>
      </c>
    </row>
    <row r="16" customFormat="false" ht="13.5" hidden="false" customHeight="true" outlineLevel="0" collapsed="false">
      <c r="A16" s="45" t="s">
        <v>66</v>
      </c>
      <c r="B16" s="73" t="s">
        <v>223</v>
      </c>
      <c r="C16" s="73" t="s">
        <v>224</v>
      </c>
      <c r="D16" s="73" t="s">
        <v>225</v>
      </c>
      <c r="E16" s="46" t="n">
        <v>98623.9632123025</v>
      </c>
      <c r="F16" s="46" t="n">
        <v>98623.9632123025</v>
      </c>
      <c r="G16" s="74" t="n">
        <v>0</v>
      </c>
      <c r="H16" s="75" t="n">
        <v>0</v>
      </c>
      <c r="I16" s="45" t="s">
        <v>18</v>
      </c>
    </row>
    <row r="17" customFormat="false" ht="13.5" hidden="false" customHeight="true" outlineLevel="0" collapsed="false">
      <c r="A17" s="45" t="s">
        <v>66</v>
      </c>
      <c r="B17" s="73" t="s">
        <v>88</v>
      </c>
      <c r="C17" s="73" t="s">
        <v>85</v>
      </c>
      <c r="D17" s="73" t="s">
        <v>225</v>
      </c>
      <c r="E17" s="46" t="n">
        <v>30379.9078566579</v>
      </c>
      <c r="F17" s="46" t="n">
        <v>30379.9078566579</v>
      </c>
      <c r="G17" s="74" t="n">
        <v>0</v>
      </c>
      <c r="H17" s="75" t="n">
        <v>0</v>
      </c>
      <c r="I17" s="45" t="s">
        <v>18</v>
      </c>
    </row>
    <row r="18" customFormat="false" ht="13.5" hidden="false" customHeight="true" outlineLevel="0" collapsed="false">
      <c r="A18" s="54" t="s">
        <v>66</v>
      </c>
      <c r="B18" s="76" t="s">
        <v>210</v>
      </c>
      <c r="C18" s="76" t="s">
        <v>210</v>
      </c>
      <c r="D18" s="76" t="s">
        <v>210</v>
      </c>
      <c r="E18" s="55" t="n">
        <v>1428.06069530769</v>
      </c>
      <c r="F18" s="55" t="n">
        <v>0</v>
      </c>
      <c r="G18" s="56" t="n">
        <v>-1428.06069530769</v>
      </c>
      <c r="H18" s="57" t="n">
        <v>-1</v>
      </c>
      <c r="I18" s="58" t="s">
        <v>17</v>
      </c>
    </row>
    <row r="19" customFormat="false" ht="13.5" hidden="false" customHeight="true" outlineLevel="0" collapsed="false">
      <c r="A19" s="49" t="s">
        <v>66</v>
      </c>
      <c r="B19" s="65" t="s">
        <v>87</v>
      </c>
      <c r="C19" s="65" t="s">
        <v>83</v>
      </c>
      <c r="D19" s="65" t="s">
        <v>225</v>
      </c>
      <c r="E19" s="50" t="n">
        <v>18410.9589036837</v>
      </c>
      <c r="F19" s="50" t="n">
        <v>14917.8082187037</v>
      </c>
      <c r="G19" s="51" t="n">
        <v>-3493.15068498</v>
      </c>
      <c r="H19" s="52" t="n">
        <v>-0.189732142864166</v>
      </c>
      <c r="I19" s="53" t="s">
        <v>15</v>
      </c>
    </row>
    <row r="20" customFormat="false" ht="13.5" hidden="false" customHeight="true" outlineLevel="0" collapsed="false">
      <c r="A20" s="54" t="s">
        <v>66</v>
      </c>
      <c r="B20" s="76" t="s">
        <v>226</v>
      </c>
      <c r="C20" s="76" t="s">
        <v>224</v>
      </c>
      <c r="D20" s="76" t="s">
        <v>225</v>
      </c>
      <c r="E20" s="55" t="n">
        <v>10724.1146813532</v>
      </c>
      <c r="F20" s="55" t="n">
        <v>0</v>
      </c>
      <c r="G20" s="56" t="n">
        <v>-10724.1146813532</v>
      </c>
      <c r="H20" s="57" t="n">
        <v>-1</v>
      </c>
      <c r="I20" s="58" t="s">
        <v>17</v>
      </c>
    </row>
    <row r="21" customFormat="false" ht="13.5" hidden="false" customHeight="true" outlineLevel="0" collapsed="false">
      <c r="A21" s="54" t="s">
        <v>66</v>
      </c>
      <c r="B21" s="76" t="s">
        <v>82</v>
      </c>
      <c r="C21" s="76" t="s">
        <v>83</v>
      </c>
      <c r="D21" s="76" t="s">
        <v>225</v>
      </c>
      <c r="E21" s="55" t="n">
        <v>65161.229224</v>
      </c>
      <c r="F21" s="55" t="n">
        <v>0</v>
      </c>
      <c r="G21" s="56" t="n">
        <v>-65161.229224</v>
      </c>
      <c r="H21" s="57" t="n">
        <v>-1</v>
      </c>
      <c r="I21" s="58" t="s">
        <v>17</v>
      </c>
    </row>
    <row r="22" customFormat="false" ht="13.5" hidden="false" customHeight="true" outlineLevel="0" collapsed="false">
      <c r="A22" s="45" t="s">
        <v>56</v>
      </c>
      <c r="B22" s="73" t="s">
        <v>227</v>
      </c>
      <c r="C22" s="73" t="s">
        <v>228</v>
      </c>
      <c r="D22" s="73" t="s">
        <v>229</v>
      </c>
      <c r="E22" s="46" t="n">
        <v>4515.2145138</v>
      </c>
      <c r="F22" s="46" t="n">
        <v>4515.2145138</v>
      </c>
      <c r="G22" s="74" t="n">
        <v>0</v>
      </c>
      <c r="H22" s="75" t="n">
        <v>0</v>
      </c>
      <c r="I22" s="45" t="s">
        <v>18</v>
      </c>
    </row>
    <row r="23" customFormat="false" ht="13.5" hidden="false" customHeight="true" outlineLevel="0" collapsed="false">
      <c r="A23" s="54" t="s">
        <v>56</v>
      </c>
      <c r="B23" s="76" t="s">
        <v>131</v>
      </c>
      <c r="C23" s="76" t="s">
        <v>132</v>
      </c>
      <c r="D23" s="76" t="s">
        <v>229</v>
      </c>
      <c r="E23" s="55" t="n">
        <v>4764.90476500276</v>
      </c>
      <c r="F23" s="55" t="n">
        <v>0</v>
      </c>
      <c r="G23" s="56" t="n">
        <v>-4764.90476500276</v>
      </c>
      <c r="H23" s="57" t="n">
        <v>-1</v>
      </c>
      <c r="I23" s="58" t="s">
        <v>17</v>
      </c>
    </row>
    <row r="24" customFormat="false" ht="13.5" hidden="false" customHeight="true" outlineLevel="0" collapsed="false">
      <c r="A24" s="54" t="s">
        <v>56</v>
      </c>
      <c r="B24" s="76" t="s">
        <v>210</v>
      </c>
      <c r="C24" s="76" t="s">
        <v>210</v>
      </c>
      <c r="D24" s="76" t="s">
        <v>210</v>
      </c>
      <c r="E24" s="55" t="n">
        <v>5563.29398422556</v>
      </c>
      <c r="F24" s="55" t="n">
        <v>0</v>
      </c>
      <c r="G24" s="56" t="n">
        <v>-5563.29398422556</v>
      </c>
      <c r="H24" s="57" t="n">
        <v>-1</v>
      </c>
      <c r="I24" s="58" t="s">
        <v>17</v>
      </c>
    </row>
    <row r="25" customFormat="false" ht="13.5" hidden="false" customHeight="true" outlineLevel="0" collapsed="false">
      <c r="A25" s="54" t="s">
        <v>56</v>
      </c>
      <c r="B25" s="76" t="s">
        <v>230</v>
      </c>
      <c r="C25" s="76" t="s">
        <v>231</v>
      </c>
      <c r="D25" s="76" t="s">
        <v>229</v>
      </c>
      <c r="E25" s="55" t="n">
        <v>12127.0096277143</v>
      </c>
      <c r="F25" s="55" t="n">
        <v>0</v>
      </c>
      <c r="G25" s="56" t="n">
        <v>-12127.0096277143</v>
      </c>
      <c r="H25" s="57" t="n">
        <v>-1</v>
      </c>
      <c r="I25" s="58" t="s">
        <v>17</v>
      </c>
    </row>
    <row r="26" customFormat="false" ht="13.5" hidden="false" customHeight="true" outlineLevel="0" collapsed="false">
      <c r="A26" s="45" t="s">
        <v>41</v>
      </c>
      <c r="B26" s="73" t="s">
        <v>232</v>
      </c>
      <c r="C26" s="73" t="s">
        <v>233</v>
      </c>
      <c r="D26" s="73" t="s">
        <v>234</v>
      </c>
      <c r="E26" s="46" t="n">
        <v>729.311425592397</v>
      </c>
      <c r="F26" s="46" t="n">
        <v>729.311425592397</v>
      </c>
      <c r="G26" s="74" t="n">
        <v>0</v>
      </c>
      <c r="H26" s="75" t="n">
        <v>0</v>
      </c>
      <c r="I26" s="45" t="s">
        <v>18</v>
      </c>
    </row>
    <row r="27" customFormat="false" ht="13.5" hidden="false" customHeight="true" outlineLevel="0" collapsed="false">
      <c r="A27" s="45" t="s">
        <v>41</v>
      </c>
      <c r="B27" s="73" t="s">
        <v>235</v>
      </c>
      <c r="C27" s="73" t="s">
        <v>233</v>
      </c>
      <c r="D27" s="73" t="s">
        <v>234</v>
      </c>
      <c r="E27" s="46" t="n">
        <v>0</v>
      </c>
      <c r="F27" s="46" t="n">
        <v>0</v>
      </c>
      <c r="G27" s="74" t="n">
        <v>0</v>
      </c>
      <c r="H27" s="48" t="s">
        <v>31</v>
      </c>
      <c r="I27" s="45" t="s">
        <v>18</v>
      </c>
    </row>
    <row r="28" customFormat="false" ht="13.5" hidden="false" customHeight="true" outlineLevel="0" collapsed="false">
      <c r="A28" s="49" t="s">
        <v>41</v>
      </c>
      <c r="B28" s="65" t="s">
        <v>210</v>
      </c>
      <c r="C28" s="65" t="s">
        <v>210</v>
      </c>
      <c r="D28" s="65" t="s">
        <v>210</v>
      </c>
      <c r="E28" s="50" t="n">
        <v>19857.0917002418</v>
      </c>
      <c r="F28" s="50" t="n">
        <v>13203.5756853182</v>
      </c>
      <c r="G28" s="51" t="n">
        <v>-6653.51601492363</v>
      </c>
      <c r="H28" s="52" t="n">
        <v>-0.335070015053746</v>
      </c>
      <c r="I28" s="53" t="s">
        <v>15</v>
      </c>
    </row>
    <row r="29" customFormat="false" ht="13.5" hidden="false" customHeight="true" outlineLevel="0" collapsed="false">
      <c r="A29" s="45" t="s">
        <v>54</v>
      </c>
      <c r="B29" s="73" t="s">
        <v>236</v>
      </c>
      <c r="C29" s="73" t="s">
        <v>237</v>
      </c>
      <c r="D29" s="73" t="s">
        <v>238</v>
      </c>
      <c r="E29" s="46" t="n">
        <v>0</v>
      </c>
      <c r="F29" s="46" t="n">
        <v>0</v>
      </c>
      <c r="G29" s="74" t="n">
        <v>0</v>
      </c>
      <c r="H29" s="48" t="s">
        <v>31</v>
      </c>
      <c r="I29" s="45" t="s">
        <v>18</v>
      </c>
    </row>
    <row r="30" customFormat="false" ht="13.5" hidden="false" customHeight="true" outlineLevel="0" collapsed="false">
      <c r="A30" s="45" t="s">
        <v>54</v>
      </c>
      <c r="B30" s="73" t="s">
        <v>239</v>
      </c>
      <c r="C30" s="73" t="s">
        <v>240</v>
      </c>
      <c r="D30" s="73" t="s">
        <v>241</v>
      </c>
      <c r="E30" s="46" t="n">
        <v>80076.0597249427</v>
      </c>
      <c r="F30" s="46" t="n">
        <v>80076.0597249427</v>
      </c>
      <c r="G30" s="74" t="n">
        <v>0</v>
      </c>
      <c r="H30" s="75" t="n">
        <v>0</v>
      </c>
      <c r="I30" s="45" t="s">
        <v>18</v>
      </c>
    </row>
    <row r="31" customFormat="false" ht="13.5" hidden="false" customHeight="true" outlineLevel="0" collapsed="false">
      <c r="A31" s="45" t="s">
        <v>54</v>
      </c>
      <c r="B31" s="73" t="s">
        <v>242</v>
      </c>
      <c r="C31" s="73" t="s">
        <v>243</v>
      </c>
      <c r="D31" s="73" t="s">
        <v>244</v>
      </c>
      <c r="E31" s="46" t="n">
        <v>12443.3937932308</v>
      </c>
      <c r="F31" s="46" t="n">
        <v>12443.3937932308</v>
      </c>
      <c r="G31" s="74" t="n">
        <v>0</v>
      </c>
      <c r="H31" s="75" t="n">
        <v>0</v>
      </c>
      <c r="I31" s="45" t="s">
        <v>18</v>
      </c>
    </row>
    <row r="32" customFormat="false" ht="13.5" hidden="false" customHeight="true" outlineLevel="0" collapsed="false">
      <c r="A32" s="54" t="s">
        <v>54</v>
      </c>
      <c r="B32" s="76" t="s">
        <v>245</v>
      </c>
      <c r="C32" s="76" t="s">
        <v>246</v>
      </c>
      <c r="D32" s="76" t="s">
        <v>247</v>
      </c>
      <c r="E32" s="55" t="n">
        <v>65.302358906422</v>
      </c>
      <c r="F32" s="55" t="n">
        <v>0</v>
      </c>
      <c r="G32" s="56" t="n">
        <v>-65.302358906422</v>
      </c>
      <c r="H32" s="57" t="n">
        <v>-1</v>
      </c>
      <c r="I32" s="58" t="s">
        <v>17</v>
      </c>
    </row>
    <row r="33" customFormat="false" ht="13.5" hidden="false" customHeight="true" outlineLevel="0" collapsed="false">
      <c r="A33" s="54" t="s">
        <v>54</v>
      </c>
      <c r="B33" s="76" t="s">
        <v>248</v>
      </c>
      <c r="C33" s="76" t="s">
        <v>249</v>
      </c>
      <c r="D33" s="76" t="s">
        <v>250</v>
      </c>
      <c r="E33" s="55" t="n">
        <v>244.668156470588</v>
      </c>
      <c r="F33" s="55" t="n">
        <v>0</v>
      </c>
      <c r="G33" s="56" t="n">
        <v>-244.668156470588</v>
      </c>
      <c r="H33" s="57" t="n">
        <v>-1</v>
      </c>
      <c r="I33" s="58" t="s">
        <v>17</v>
      </c>
    </row>
    <row r="34" customFormat="false" ht="13.5" hidden="false" customHeight="true" outlineLevel="0" collapsed="false">
      <c r="A34" s="54" t="s">
        <v>54</v>
      </c>
      <c r="B34" s="76" t="s">
        <v>251</v>
      </c>
      <c r="C34" s="76" t="s">
        <v>252</v>
      </c>
      <c r="D34" s="76" t="s">
        <v>253</v>
      </c>
      <c r="E34" s="55" t="n">
        <v>739.027798941177</v>
      </c>
      <c r="F34" s="55" t="n">
        <v>0</v>
      </c>
      <c r="G34" s="56" t="n">
        <v>-739.027798941177</v>
      </c>
      <c r="H34" s="57" t="n">
        <v>-1</v>
      </c>
      <c r="I34" s="58" t="s">
        <v>17</v>
      </c>
    </row>
    <row r="35" customFormat="false" ht="13.5" hidden="false" customHeight="true" outlineLevel="0" collapsed="false">
      <c r="A35" s="54" t="s">
        <v>54</v>
      </c>
      <c r="B35" s="76" t="s">
        <v>210</v>
      </c>
      <c r="C35" s="76" t="s">
        <v>210</v>
      </c>
      <c r="D35" s="76" t="s">
        <v>210</v>
      </c>
      <c r="E35" s="55" t="n">
        <v>3298.10427230431</v>
      </c>
      <c r="F35" s="55" t="n">
        <v>0</v>
      </c>
      <c r="G35" s="56" t="n">
        <v>-3298.10427230431</v>
      </c>
      <c r="H35" s="57" t="n">
        <v>-1</v>
      </c>
      <c r="I35" s="58" t="s">
        <v>17</v>
      </c>
    </row>
    <row r="36" customFormat="false" ht="13.5" hidden="false" customHeight="true" outlineLevel="0" collapsed="false">
      <c r="A36" s="49" t="s">
        <v>54</v>
      </c>
      <c r="B36" s="65" t="s">
        <v>80</v>
      </c>
      <c r="C36" s="65" t="s">
        <v>81</v>
      </c>
      <c r="D36" s="65" t="s">
        <v>254</v>
      </c>
      <c r="E36" s="50" t="n">
        <v>10233.9280366237</v>
      </c>
      <c r="F36" s="50" t="n">
        <v>3261.59216582655</v>
      </c>
      <c r="G36" s="51" t="n">
        <v>-6972.33587079712</v>
      </c>
      <c r="H36" s="52" t="n">
        <v>-0.681296159778098</v>
      </c>
      <c r="I36" s="53" t="s">
        <v>15</v>
      </c>
    </row>
    <row r="37" customFormat="false" ht="13.5" hidden="false" customHeight="true" outlineLevel="0" collapsed="false">
      <c r="A37" s="54" t="s">
        <v>54</v>
      </c>
      <c r="B37" s="76" t="s">
        <v>255</v>
      </c>
      <c r="C37" s="76" t="s">
        <v>256</v>
      </c>
      <c r="D37" s="76" t="s">
        <v>257</v>
      </c>
      <c r="E37" s="55" t="n">
        <v>10167.8729661751</v>
      </c>
      <c r="F37" s="55" t="n">
        <v>0</v>
      </c>
      <c r="G37" s="56" t="n">
        <v>-10167.8729661751</v>
      </c>
      <c r="H37" s="57" t="n">
        <v>-1</v>
      </c>
      <c r="I37" s="58" t="s">
        <v>17</v>
      </c>
    </row>
    <row r="38" customFormat="false" ht="13.5" hidden="false" customHeight="true" outlineLevel="0" collapsed="false">
      <c r="A38" s="49" t="s">
        <v>51</v>
      </c>
      <c r="B38" s="65" t="s">
        <v>139</v>
      </c>
      <c r="C38" s="65" t="s">
        <v>140</v>
      </c>
      <c r="D38" s="65" t="s">
        <v>258</v>
      </c>
      <c r="E38" s="50" t="n">
        <v>29249.0154124216</v>
      </c>
      <c r="F38" s="50" t="n">
        <v>25170.5057890828</v>
      </c>
      <c r="G38" s="51" t="n">
        <v>-4078.50962333885</v>
      </c>
      <c r="H38" s="52" t="n">
        <v>-0.139440920175616</v>
      </c>
      <c r="I38" s="53" t="s">
        <v>15</v>
      </c>
    </row>
    <row r="39" customFormat="false" ht="13.5" hidden="false" customHeight="true" outlineLevel="0" collapsed="false">
      <c r="A39" s="54" t="s">
        <v>51</v>
      </c>
      <c r="B39" s="76" t="s">
        <v>259</v>
      </c>
      <c r="C39" s="76" t="s">
        <v>260</v>
      </c>
      <c r="D39" s="76" t="s">
        <v>261</v>
      </c>
      <c r="E39" s="55" t="n">
        <v>5550.05145</v>
      </c>
      <c r="F39" s="55" t="n">
        <v>0</v>
      </c>
      <c r="G39" s="56" t="n">
        <v>-5550.05145</v>
      </c>
      <c r="H39" s="57" t="n">
        <v>-1</v>
      </c>
      <c r="I39" s="58" t="s">
        <v>17</v>
      </c>
    </row>
    <row r="40" customFormat="false" ht="13.5" hidden="false" customHeight="true" outlineLevel="0" collapsed="false">
      <c r="A40" s="49" t="s">
        <v>35</v>
      </c>
      <c r="B40" s="65" t="s">
        <v>210</v>
      </c>
      <c r="C40" s="65" t="s">
        <v>210</v>
      </c>
      <c r="D40" s="65" t="s">
        <v>210</v>
      </c>
      <c r="E40" s="50" t="n">
        <v>21580.3771315931</v>
      </c>
      <c r="F40" s="50" t="n">
        <v>20185.0466080382</v>
      </c>
      <c r="G40" s="51" t="n">
        <v>-1395.33052355484</v>
      </c>
      <c r="H40" s="52" t="n">
        <v>-0.0646573743844409</v>
      </c>
      <c r="I40" s="53" t="s">
        <v>15</v>
      </c>
    </row>
    <row r="41" customFormat="false" ht="13.5" hidden="false" customHeight="true" outlineLevel="0" collapsed="false">
      <c r="A41" s="45" t="s">
        <v>43</v>
      </c>
      <c r="B41" s="73" t="s">
        <v>262</v>
      </c>
      <c r="C41" s="73" t="s">
        <v>263</v>
      </c>
      <c r="D41" s="73" t="s">
        <v>264</v>
      </c>
      <c r="E41" s="46" t="n">
        <v>0</v>
      </c>
      <c r="F41" s="46" t="n">
        <v>0</v>
      </c>
      <c r="G41" s="74" t="n">
        <v>0</v>
      </c>
      <c r="H41" s="48" t="s">
        <v>31</v>
      </c>
      <c r="I41" s="45" t="s">
        <v>18</v>
      </c>
    </row>
    <row r="42" customFormat="false" ht="13.5" hidden="false" customHeight="true" outlineLevel="0" collapsed="false">
      <c r="A42" s="45" t="s">
        <v>43</v>
      </c>
      <c r="B42" s="73" t="s">
        <v>265</v>
      </c>
      <c r="C42" s="73" t="s">
        <v>142</v>
      </c>
      <c r="D42" s="73" t="s">
        <v>266</v>
      </c>
      <c r="E42" s="46" t="n">
        <v>0</v>
      </c>
      <c r="F42" s="46" t="n">
        <v>0</v>
      </c>
      <c r="G42" s="74" t="n">
        <v>0</v>
      </c>
      <c r="H42" s="48" t="s">
        <v>31</v>
      </c>
      <c r="I42" s="45" t="s">
        <v>18</v>
      </c>
    </row>
    <row r="43" customFormat="false" ht="13.5" hidden="false" customHeight="true" outlineLevel="0" collapsed="false">
      <c r="A43" s="45" t="s">
        <v>43</v>
      </c>
      <c r="B43" s="73" t="s">
        <v>267</v>
      </c>
      <c r="C43" s="73" t="s">
        <v>142</v>
      </c>
      <c r="D43" s="73" t="s">
        <v>266</v>
      </c>
      <c r="E43" s="46" t="n">
        <v>5694.27938876923</v>
      </c>
      <c r="F43" s="46" t="n">
        <v>5694.27938876923</v>
      </c>
      <c r="G43" s="74" t="n">
        <v>0</v>
      </c>
      <c r="H43" s="75" t="n">
        <v>0</v>
      </c>
      <c r="I43" s="45" t="s">
        <v>18</v>
      </c>
    </row>
    <row r="44" customFormat="false" ht="13.5" hidden="false" customHeight="true" outlineLevel="0" collapsed="false">
      <c r="A44" s="45" t="s">
        <v>43</v>
      </c>
      <c r="B44" s="73" t="s">
        <v>144</v>
      </c>
      <c r="C44" s="73" t="s">
        <v>145</v>
      </c>
      <c r="D44" s="73" t="s">
        <v>268</v>
      </c>
      <c r="E44" s="46" t="n">
        <v>9635.48229172331</v>
      </c>
      <c r="F44" s="46" t="n">
        <v>9635.48229172331</v>
      </c>
      <c r="G44" s="74" t="n">
        <v>0</v>
      </c>
      <c r="H44" s="75" t="n">
        <v>0</v>
      </c>
      <c r="I44" s="45" t="s">
        <v>18</v>
      </c>
    </row>
    <row r="45" customFormat="false" ht="13.5" hidden="false" customHeight="true" outlineLevel="0" collapsed="false">
      <c r="A45" s="45" t="s">
        <v>43</v>
      </c>
      <c r="B45" s="73" t="s">
        <v>146</v>
      </c>
      <c r="C45" s="73" t="s">
        <v>147</v>
      </c>
      <c r="D45" s="73" t="s">
        <v>266</v>
      </c>
      <c r="E45" s="46" t="n">
        <v>13272.0679188662</v>
      </c>
      <c r="F45" s="46" t="n">
        <v>13272.0679188662</v>
      </c>
      <c r="G45" s="74" t="n">
        <v>0</v>
      </c>
      <c r="H45" s="75" t="n">
        <v>0</v>
      </c>
      <c r="I45" s="45" t="s">
        <v>18</v>
      </c>
    </row>
    <row r="46" customFormat="false" ht="13.5" hidden="false" customHeight="true" outlineLevel="0" collapsed="false">
      <c r="A46" s="45" t="s">
        <v>43</v>
      </c>
      <c r="B46" s="73" t="s">
        <v>269</v>
      </c>
      <c r="C46" s="73" t="s">
        <v>142</v>
      </c>
      <c r="D46" s="73" t="s">
        <v>266</v>
      </c>
      <c r="E46" s="46" t="n">
        <v>4967.22473630769</v>
      </c>
      <c r="F46" s="46" t="n">
        <v>4967.22473630769</v>
      </c>
      <c r="G46" s="74" t="n">
        <v>0</v>
      </c>
      <c r="H46" s="75" t="n">
        <v>0</v>
      </c>
      <c r="I46" s="45" t="s">
        <v>18</v>
      </c>
    </row>
    <row r="47" customFormat="false" ht="13.5" hidden="false" customHeight="true" outlineLevel="0" collapsed="false">
      <c r="A47" s="54" t="s">
        <v>43</v>
      </c>
      <c r="B47" s="76" t="s">
        <v>148</v>
      </c>
      <c r="C47" s="76" t="s">
        <v>149</v>
      </c>
      <c r="D47" s="76" t="s">
        <v>268</v>
      </c>
      <c r="E47" s="55" t="n">
        <v>609.135093701657</v>
      </c>
      <c r="F47" s="55" t="n">
        <v>0</v>
      </c>
      <c r="G47" s="56" t="n">
        <v>-609.135093701657</v>
      </c>
      <c r="H47" s="57" t="n">
        <v>-1</v>
      </c>
      <c r="I47" s="58" t="s">
        <v>17</v>
      </c>
    </row>
    <row r="48" customFormat="false" ht="13.5" hidden="false" customHeight="true" outlineLevel="0" collapsed="false">
      <c r="A48" s="49" t="s">
        <v>43</v>
      </c>
      <c r="B48" s="65" t="s">
        <v>210</v>
      </c>
      <c r="C48" s="65" t="s">
        <v>210</v>
      </c>
      <c r="D48" s="65" t="s">
        <v>210</v>
      </c>
      <c r="E48" s="50" t="n">
        <v>1960.49395387278</v>
      </c>
      <c r="F48" s="50" t="n">
        <v>378.018842158491</v>
      </c>
      <c r="G48" s="51" t="n">
        <v>-1582.47511171429</v>
      </c>
      <c r="H48" s="52" t="n">
        <v>-0.807181837305977</v>
      </c>
      <c r="I48" s="53" t="s">
        <v>15</v>
      </c>
    </row>
    <row r="49" customFormat="false" ht="13.5" hidden="false" customHeight="true" outlineLevel="0" collapsed="false">
      <c r="A49" s="49" t="s">
        <v>43</v>
      </c>
      <c r="B49" s="65" t="s">
        <v>143</v>
      </c>
      <c r="C49" s="65" t="s">
        <v>142</v>
      </c>
      <c r="D49" s="65" t="s">
        <v>266</v>
      </c>
      <c r="E49" s="50" t="n">
        <v>15934.3085637569</v>
      </c>
      <c r="F49" s="50" t="n">
        <v>13650.01365</v>
      </c>
      <c r="G49" s="51" t="n">
        <v>-2284.29491375691</v>
      </c>
      <c r="H49" s="52" t="n">
        <v>-0.143357015123494</v>
      </c>
      <c r="I49" s="53" t="s">
        <v>15</v>
      </c>
    </row>
    <row r="50" customFormat="false" ht="13.5" hidden="false" customHeight="true" outlineLevel="0" collapsed="false">
      <c r="A50" s="49" t="s">
        <v>43</v>
      </c>
      <c r="B50" s="65" t="s">
        <v>141</v>
      </c>
      <c r="C50" s="65" t="s">
        <v>142</v>
      </c>
      <c r="D50" s="65" t="s">
        <v>266</v>
      </c>
      <c r="E50" s="50" t="n">
        <v>43918.5810670848</v>
      </c>
      <c r="F50" s="50" t="n">
        <v>41632.9691837033</v>
      </c>
      <c r="G50" s="51" t="n">
        <v>-2285.61188338148</v>
      </c>
      <c r="H50" s="52" t="n">
        <v>-0.0520420247614614</v>
      </c>
      <c r="I50" s="53" t="s">
        <v>15</v>
      </c>
    </row>
    <row r="51" customFormat="false" ht="13.5" hidden="false" customHeight="true" outlineLevel="0" collapsed="false">
      <c r="A51" s="45" t="s">
        <v>37</v>
      </c>
      <c r="B51" s="73" t="s">
        <v>270</v>
      </c>
      <c r="C51" s="73" t="s">
        <v>271</v>
      </c>
      <c r="D51" s="73" t="s">
        <v>272</v>
      </c>
      <c r="E51" s="46" t="n">
        <v>0</v>
      </c>
      <c r="F51" s="46" t="n">
        <v>0</v>
      </c>
      <c r="G51" s="74" t="n">
        <v>0</v>
      </c>
      <c r="H51" s="48" t="s">
        <v>31</v>
      </c>
      <c r="I51" s="45" t="s">
        <v>18</v>
      </c>
    </row>
    <row r="52" customFormat="false" ht="13.5" hidden="false" customHeight="true" outlineLevel="0" collapsed="false">
      <c r="A52" s="45" t="s">
        <v>37</v>
      </c>
      <c r="B52" s="73" t="s">
        <v>273</v>
      </c>
      <c r="C52" s="73" t="s">
        <v>271</v>
      </c>
      <c r="D52" s="73" t="s">
        <v>272</v>
      </c>
      <c r="E52" s="46" t="n">
        <v>4874.67487471429</v>
      </c>
      <c r="F52" s="46" t="n">
        <v>4874.67487471429</v>
      </c>
      <c r="G52" s="74" t="n">
        <v>0</v>
      </c>
      <c r="H52" s="75" t="n">
        <v>0</v>
      </c>
      <c r="I52" s="45" t="s">
        <v>18</v>
      </c>
    </row>
    <row r="53" customFormat="false" ht="13.5" hidden="false" customHeight="true" outlineLevel="0" collapsed="false">
      <c r="A53" s="49" t="s">
        <v>37</v>
      </c>
      <c r="B53" s="65" t="s">
        <v>274</v>
      </c>
      <c r="C53" s="65" t="s">
        <v>271</v>
      </c>
      <c r="D53" s="65" t="s">
        <v>272</v>
      </c>
      <c r="E53" s="50" t="n">
        <v>23711.1237101667</v>
      </c>
      <c r="F53" s="50" t="n">
        <v>21873.6218726667</v>
      </c>
      <c r="G53" s="51" t="n">
        <v>-1837.5018375</v>
      </c>
      <c r="H53" s="52" t="n">
        <v>-0.0774953502820337</v>
      </c>
      <c r="I53" s="53" t="s">
        <v>15</v>
      </c>
    </row>
    <row r="54" customFormat="false" ht="13.5" hidden="false" customHeight="true" outlineLevel="0" collapsed="false">
      <c r="A54" s="54" t="s">
        <v>60</v>
      </c>
      <c r="B54" s="76" t="s">
        <v>275</v>
      </c>
      <c r="C54" s="76" t="s">
        <v>271</v>
      </c>
      <c r="D54" s="76" t="s">
        <v>272</v>
      </c>
      <c r="E54" s="55" t="n">
        <v>31027.531026</v>
      </c>
      <c r="F54" s="55" t="n">
        <v>0</v>
      </c>
      <c r="G54" s="56" t="n">
        <v>-31027.531026</v>
      </c>
      <c r="H54" s="57" t="n">
        <v>-1</v>
      </c>
      <c r="I54" s="58" t="s">
        <v>17</v>
      </c>
    </row>
    <row r="55" customFormat="false" ht="13.5" hidden="false" customHeight="true" outlineLevel="0" collapsed="false">
      <c r="A55" s="45" t="s">
        <v>64</v>
      </c>
      <c r="B55" s="73" t="s">
        <v>276</v>
      </c>
      <c r="C55" s="73" t="s">
        <v>277</v>
      </c>
      <c r="D55" s="73" t="s">
        <v>278</v>
      </c>
      <c r="E55" s="46" t="n">
        <v>0</v>
      </c>
      <c r="F55" s="46" t="n">
        <v>0</v>
      </c>
      <c r="G55" s="74" t="n">
        <v>0</v>
      </c>
      <c r="H55" s="48" t="s">
        <v>31</v>
      </c>
      <c r="I55" s="45" t="s">
        <v>18</v>
      </c>
    </row>
    <row r="56" customFormat="false" ht="13.5" hidden="false" customHeight="true" outlineLevel="0" collapsed="false">
      <c r="A56" s="54" t="s">
        <v>64</v>
      </c>
      <c r="B56" s="76" t="s">
        <v>210</v>
      </c>
      <c r="C56" s="76" t="s">
        <v>210</v>
      </c>
      <c r="D56" s="76" t="s">
        <v>210</v>
      </c>
      <c r="E56" s="55" t="n">
        <v>2818.72172842</v>
      </c>
      <c r="F56" s="55" t="n">
        <v>0</v>
      </c>
      <c r="G56" s="56" t="n">
        <v>-2818.72172842</v>
      </c>
      <c r="H56" s="57" t="n">
        <v>-1</v>
      </c>
      <c r="I56" s="58" t="s">
        <v>17</v>
      </c>
    </row>
    <row r="57" customFormat="false" ht="13.5" hidden="false" customHeight="true" outlineLevel="0" collapsed="false">
      <c r="A57" s="54" t="s">
        <v>64</v>
      </c>
      <c r="B57" s="76" t="s">
        <v>152</v>
      </c>
      <c r="C57" s="76" t="s">
        <v>153</v>
      </c>
      <c r="D57" s="76" t="s">
        <v>278</v>
      </c>
      <c r="E57" s="55" t="n">
        <v>6623.556762249</v>
      </c>
      <c r="F57" s="55" t="n">
        <v>0</v>
      </c>
      <c r="G57" s="56" t="n">
        <v>-6623.556762249</v>
      </c>
      <c r="H57" s="57" t="n">
        <v>-1</v>
      </c>
      <c r="I57" s="58" t="s">
        <v>17</v>
      </c>
    </row>
    <row r="58" customFormat="false" ht="13.5" hidden="false" customHeight="true" outlineLevel="0" collapsed="false">
      <c r="A58" s="54" t="s">
        <v>64</v>
      </c>
      <c r="B58" s="76" t="s">
        <v>156</v>
      </c>
      <c r="C58" s="76" t="s">
        <v>155</v>
      </c>
      <c r="D58" s="76" t="s">
        <v>279</v>
      </c>
      <c r="E58" s="55" t="n">
        <v>7048.36231308687</v>
      </c>
      <c r="F58" s="55" t="n">
        <v>0</v>
      </c>
      <c r="G58" s="56" t="n">
        <v>-7048.36231308687</v>
      </c>
      <c r="H58" s="57" t="n">
        <v>-1</v>
      </c>
      <c r="I58" s="58" t="s">
        <v>17</v>
      </c>
    </row>
    <row r="59" customFormat="false" ht="13.5" hidden="false" customHeight="true" outlineLevel="0" collapsed="false">
      <c r="A59" s="49" t="s">
        <v>64</v>
      </c>
      <c r="B59" s="65" t="s">
        <v>150</v>
      </c>
      <c r="C59" s="65" t="s">
        <v>151</v>
      </c>
      <c r="D59" s="65" t="s">
        <v>278</v>
      </c>
      <c r="E59" s="50" t="n">
        <v>18649.0497142723</v>
      </c>
      <c r="F59" s="50" t="n">
        <v>5234.87516628399</v>
      </c>
      <c r="G59" s="51" t="n">
        <v>-13414.1745479883</v>
      </c>
      <c r="H59" s="52" t="n">
        <v>-0.719295339629145</v>
      </c>
      <c r="I59" s="53" t="s">
        <v>15</v>
      </c>
    </row>
    <row r="60" customFormat="false" ht="13.5" hidden="false" customHeight="true" outlineLevel="0" collapsed="false">
      <c r="A60" s="54" t="s">
        <v>64</v>
      </c>
      <c r="B60" s="76" t="s">
        <v>157</v>
      </c>
      <c r="C60" s="76" t="s">
        <v>158</v>
      </c>
      <c r="D60" s="76" t="s">
        <v>280</v>
      </c>
      <c r="E60" s="55" t="n">
        <v>16384.1035260127</v>
      </c>
      <c r="F60" s="55" t="n">
        <v>0</v>
      </c>
      <c r="G60" s="56" t="n">
        <v>-16384.1035260127</v>
      </c>
      <c r="H60" s="57" t="n">
        <v>-1</v>
      </c>
      <c r="I60" s="58" t="s">
        <v>17</v>
      </c>
    </row>
    <row r="61" customFormat="false" ht="13.5" hidden="false" customHeight="true" outlineLevel="0" collapsed="false">
      <c r="A61" s="54" t="s">
        <v>45</v>
      </c>
      <c r="B61" s="76" t="s">
        <v>281</v>
      </c>
      <c r="C61" s="76" t="s">
        <v>282</v>
      </c>
      <c r="D61" s="76" t="s">
        <v>283</v>
      </c>
      <c r="E61" s="55" t="n">
        <v>6877.91304366667</v>
      </c>
      <c r="F61" s="55" t="n">
        <v>0</v>
      </c>
      <c r="G61" s="56" t="n">
        <v>-6877.91304366667</v>
      </c>
      <c r="H61" s="57" t="n">
        <v>-1</v>
      </c>
      <c r="I61" s="58" t="s">
        <v>17</v>
      </c>
    </row>
    <row r="62" customFormat="false" ht="13.5" hidden="false" customHeight="true" outlineLevel="0" collapsed="false">
      <c r="A62" s="45" t="s">
        <v>67</v>
      </c>
      <c r="B62" s="73" t="s">
        <v>284</v>
      </c>
      <c r="C62" s="73" t="s">
        <v>178</v>
      </c>
      <c r="D62" s="73" t="s">
        <v>184</v>
      </c>
      <c r="E62" s="46" t="n">
        <v>1260.38961054546</v>
      </c>
      <c r="F62" s="46" t="n">
        <v>1260.38961054546</v>
      </c>
      <c r="G62" s="74" t="n">
        <v>0</v>
      </c>
      <c r="H62" s="75" t="n">
        <v>0</v>
      </c>
      <c r="I62" s="45" t="s">
        <v>18</v>
      </c>
    </row>
    <row r="63" customFormat="false" ht="13.5" hidden="false" customHeight="true" outlineLevel="0" collapsed="false">
      <c r="A63" s="45" t="s">
        <v>67</v>
      </c>
      <c r="B63" s="73" t="s">
        <v>161</v>
      </c>
      <c r="C63" s="73" t="s">
        <v>285</v>
      </c>
      <c r="D63" s="73" t="s">
        <v>286</v>
      </c>
      <c r="E63" s="46" t="n">
        <v>18708.9947078889</v>
      </c>
      <c r="F63" s="46" t="n">
        <v>18708.9947078889</v>
      </c>
      <c r="G63" s="74" t="n">
        <v>0</v>
      </c>
      <c r="H63" s="75" t="n">
        <v>0</v>
      </c>
      <c r="I63" s="45" t="s">
        <v>18</v>
      </c>
    </row>
    <row r="64" customFormat="false" ht="13.5" hidden="false" customHeight="true" outlineLevel="0" collapsed="false">
      <c r="A64" s="45" t="s">
        <v>67</v>
      </c>
      <c r="B64" s="73" t="s">
        <v>287</v>
      </c>
      <c r="C64" s="73" t="s">
        <v>160</v>
      </c>
      <c r="D64" s="73" t="s">
        <v>164</v>
      </c>
      <c r="E64" s="46" t="n">
        <v>4452.38095231818</v>
      </c>
      <c r="F64" s="46" t="n">
        <v>4452.38095231818</v>
      </c>
      <c r="G64" s="74" t="n">
        <v>0</v>
      </c>
      <c r="H64" s="75" t="n">
        <v>0</v>
      </c>
      <c r="I64" s="45" t="s">
        <v>18</v>
      </c>
    </row>
    <row r="65" customFormat="false" ht="13.5" hidden="false" customHeight="true" outlineLevel="0" collapsed="false">
      <c r="A65" s="45" t="s">
        <v>67</v>
      </c>
      <c r="B65" s="73" t="s">
        <v>173</v>
      </c>
      <c r="C65" s="73" t="s">
        <v>174</v>
      </c>
      <c r="D65" s="73" t="s">
        <v>286</v>
      </c>
      <c r="E65" s="46" t="n">
        <v>26313.7480817097</v>
      </c>
      <c r="F65" s="46" t="n">
        <v>26313.7480817097</v>
      </c>
      <c r="G65" s="74" t="n">
        <v>0</v>
      </c>
      <c r="H65" s="75" t="n">
        <v>0</v>
      </c>
      <c r="I65" s="45" t="s">
        <v>18</v>
      </c>
    </row>
    <row r="66" customFormat="false" ht="13.5" hidden="false" customHeight="true" outlineLevel="0" collapsed="false">
      <c r="A66" s="45" t="s">
        <v>67</v>
      </c>
      <c r="B66" s="73" t="s">
        <v>288</v>
      </c>
      <c r="C66" s="73" t="s">
        <v>289</v>
      </c>
      <c r="D66" s="73" t="s">
        <v>286</v>
      </c>
      <c r="E66" s="46" t="n">
        <v>89.4180775555556</v>
      </c>
      <c r="F66" s="46" t="n">
        <v>89.4180775555556</v>
      </c>
      <c r="G66" s="74" t="n">
        <v>0</v>
      </c>
      <c r="H66" s="75" t="n">
        <v>0</v>
      </c>
      <c r="I66" s="45" t="s">
        <v>18</v>
      </c>
    </row>
    <row r="67" customFormat="false" ht="13.5" hidden="false" customHeight="true" outlineLevel="0" collapsed="false">
      <c r="A67" s="45" t="s">
        <v>67</v>
      </c>
      <c r="B67" s="73" t="s">
        <v>177</v>
      </c>
      <c r="C67" s="73" t="s">
        <v>178</v>
      </c>
      <c r="D67" s="73" t="s">
        <v>184</v>
      </c>
      <c r="E67" s="46" t="n">
        <v>22277.8378381622</v>
      </c>
      <c r="F67" s="46" t="n">
        <v>22277.8378381622</v>
      </c>
      <c r="G67" s="74" t="n">
        <v>0</v>
      </c>
      <c r="H67" s="75" t="n">
        <v>0</v>
      </c>
      <c r="I67" s="45" t="s">
        <v>18</v>
      </c>
    </row>
    <row r="68" customFormat="false" ht="13.5" hidden="false" customHeight="true" outlineLevel="0" collapsed="false">
      <c r="A68" s="45" t="s">
        <v>67</v>
      </c>
      <c r="B68" s="73" t="s">
        <v>290</v>
      </c>
      <c r="C68" s="73" t="s">
        <v>291</v>
      </c>
      <c r="D68" s="73" t="s">
        <v>292</v>
      </c>
      <c r="E68" s="46" t="n">
        <v>5529.3714282</v>
      </c>
      <c r="F68" s="46" t="n">
        <v>5529.3714282</v>
      </c>
      <c r="G68" s="74" t="n">
        <v>0</v>
      </c>
      <c r="H68" s="75" t="n">
        <v>0</v>
      </c>
      <c r="I68" s="45" t="s">
        <v>18</v>
      </c>
    </row>
    <row r="69" customFormat="false" ht="13.5" hidden="false" customHeight="true" outlineLevel="0" collapsed="false">
      <c r="A69" s="45" t="s">
        <v>67</v>
      </c>
      <c r="B69" s="73" t="s">
        <v>171</v>
      </c>
      <c r="C69" s="73" t="s">
        <v>160</v>
      </c>
      <c r="D69" s="73" t="s">
        <v>164</v>
      </c>
      <c r="E69" s="46" t="n">
        <v>4098.5278078855</v>
      </c>
      <c r="F69" s="46" t="n">
        <v>4098.5278078855</v>
      </c>
      <c r="G69" s="74" t="n">
        <v>0</v>
      </c>
      <c r="H69" s="75" t="n">
        <v>0</v>
      </c>
      <c r="I69" s="45" t="s">
        <v>18</v>
      </c>
    </row>
    <row r="70" customFormat="false" ht="13.5" hidden="false" customHeight="true" outlineLevel="0" collapsed="false">
      <c r="A70" s="45" t="s">
        <v>67</v>
      </c>
      <c r="B70" s="73" t="s">
        <v>293</v>
      </c>
      <c r="C70" s="73" t="s">
        <v>162</v>
      </c>
      <c r="D70" s="73" t="s">
        <v>294</v>
      </c>
      <c r="E70" s="46" t="n">
        <v>747.619047666667</v>
      </c>
      <c r="F70" s="46" t="n">
        <v>747.619047666667</v>
      </c>
      <c r="G70" s="74" t="n">
        <v>0</v>
      </c>
      <c r="H70" s="75" t="n">
        <v>0</v>
      </c>
      <c r="I70" s="45" t="s">
        <v>18</v>
      </c>
    </row>
    <row r="71" customFormat="false" ht="13.5" hidden="false" customHeight="true" outlineLevel="0" collapsed="false">
      <c r="A71" s="45" t="s">
        <v>67</v>
      </c>
      <c r="B71" s="73" t="s">
        <v>295</v>
      </c>
      <c r="C71" s="73" t="s">
        <v>168</v>
      </c>
      <c r="D71" s="73" t="s">
        <v>164</v>
      </c>
      <c r="E71" s="46" t="n">
        <v>0</v>
      </c>
      <c r="F71" s="46" t="n">
        <v>0</v>
      </c>
      <c r="G71" s="74" t="n">
        <v>0</v>
      </c>
      <c r="H71" s="48" t="s">
        <v>31</v>
      </c>
      <c r="I71" s="45" t="s">
        <v>18</v>
      </c>
    </row>
    <row r="72" customFormat="false" ht="13.5" hidden="false" customHeight="true" outlineLevel="0" collapsed="false">
      <c r="A72" s="45" t="s">
        <v>67</v>
      </c>
      <c r="B72" s="73" t="s">
        <v>181</v>
      </c>
      <c r="C72" s="73" t="s">
        <v>178</v>
      </c>
      <c r="D72" s="73" t="s">
        <v>184</v>
      </c>
      <c r="E72" s="46" t="n">
        <v>18514.2857152</v>
      </c>
      <c r="F72" s="46" t="n">
        <v>18514.2857152</v>
      </c>
      <c r="G72" s="74" t="n">
        <v>0</v>
      </c>
      <c r="H72" s="75" t="n">
        <v>0</v>
      </c>
      <c r="I72" s="45" t="s">
        <v>18</v>
      </c>
    </row>
    <row r="73" customFormat="false" ht="13.5" hidden="false" customHeight="true" outlineLevel="0" collapsed="false">
      <c r="A73" s="45" t="s">
        <v>67</v>
      </c>
      <c r="B73" s="73" t="s">
        <v>183</v>
      </c>
      <c r="C73" s="73" t="s">
        <v>285</v>
      </c>
      <c r="D73" s="73" t="s">
        <v>286</v>
      </c>
      <c r="E73" s="46" t="n">
        <v>11408.9265274484</v>
      </c>
      <c r="F73" s="46" t="n">
        <v>11408.9265274484</v>
      </c>
      <c r="G73" s="74" t="n">
        <v>0</v>
      </c>
      <c r="H73" s="75" t="n">
        <v>0</v>
      </c>
      <c r="I73" s="45" t="s">
        <v>18</v>
      </c>
    </row>
    <row r="74" customFormat="false" ht="13.5" hidden="false" customHeight="true" outlineLevel="0" collapsed="false">
      <c r="A74" s="45" t="s">
        <v>67</v>
      </c>
      <c r="B74" s="73" t="s">
        <v>296</v>
      </c>
      <c r="C74" s="73" t="s">
        <v>178</v>
      </c>
      <c r="D74" s="73" t="s">
        <v>184</v>
      </c>
      <c r="E74" s="46" t="n">
        <v>0</v>
      </c>
      <c r="F74" s="46" t="n">
        <v>0</v>
      </c>
      <c r="G74" s="74" t="n">
        <v>0</v>
      </c>
      <c r="H74" s="48" t="s">
        <v>31</v>
      </c>
      <c r="I74" s="45" t="s">
        <v>18</v>
      </c>
    </row>
    <row r="75" customFormat="false" ht="13.5" hidden="false" customHeight="true" outlineLevel="0" collapsed="false">
      <c r="A75" s="54" t="s">
        <v>67</v>
      </c>
      <c r="B75" s="76" t="s">
        <v>297</v>
      </c>
      <c r="C75" s="76" t="s">
        <v>298</v>
      </c>
      <c r="D75" s="76" t="s">
        <v>286</v>
      </c>
      <c r="E75" s="55" t="n">
        <v>178.571428666667</v>
      </c>
      <c r="F75" s="55" t="n">
        <v>0</v>
      </c>
      <c r="G75" s="56" t="n">
        <v>-178.571428666667</v>
      </c>
      <c r="H75" s="57" t="n">
        <v>-1</v>
      </c>
      <c r="I75" s="58" t="s">
        <v>17</v>
      </c>
    </row>
    <row r="76" customFormat="false" ht="13.5" hidden="false" customHeight="true" outlineLevel="0" collapsed="false">
      <c r="A76" s="54" t="s">
        <v>67</v>
      </c>
      <c r="B76" s="76" t="s">
        <v>299</v>
      </c>
      <c r="C76" s="76" t="s">
        <v>174</v>
      </c>
      <c r="D76" s="76" t="s">
        <v>286</v>
      </c>
      <c r="E76" s="55" t="n">
        <v>814.117647211765</v>
      </c>
      <c r="F76" s="55" t="n">
        <v>0</v>
      </c>
      <c r="G76" s="56" t="n">
        <v>-814.117647211765</v>
      </c>
      <c r="H76" s="57" t="n">
        <v>-1</v>
      </c>
      <c r="I76" s="58" t="s">
        <v>17</v>
      </c>
    </row>
    <row r="77" customFormat="false" ht="13.5" hidden="false" customHeight="true" outlineLevel="0" collapsed="false">
      <c r="A77" s="54" t="s">
        <v>67</v>
      </c>
      <c r="B77" s="76" t="s">
        <v>210</v>
      </c>
      <c r="C77" s="76" t="s">
        <v>210</v>
      </c>
      <c r="D77" s="76" t="s">
        <v>210</v>
      </c>
      <c r="E77" s="55" t="n">
        <v>1959.29992624857</v>
      </c>
      <c r="F77" s="55" t="n">
        <v>0</v>
      </c>
      <c r="G77" s="56" t="n">
        <v>-1959.29992624857</v>
      </c>
      <c r="H77" s="57" t="n">
        <v>-1</v>
      </c>
      <c r="I77" s="58" t="s">
        <v>17</v>
      </c>
    </row>
    <row r="78" customFormat="false" ht="13.5" hidden="false" customHeight="true" outlineLevel="0" collapsed="false">
      <c r="A78" s="54" t="s">
        <v>67</v>
      </c>
      <c r="B78" s="76" t="s">
        <v>172</v>
      </c>
      <c r="C78" s="76" t="s">
        <v>160</v>
      </c>
      <c r="D78" s="76" t="s">
        <v>164</v>
      </c>
      <c r="E78" s="55" t="n">
        <v>4625.07122462393</v>
      </c>
      <c r="F78" s="55" t="n">
        <v>0</v>
      </c>
      <c r="G78" s="56" t="n">
        <v>-4625.07122462393</v>
      </c>
      <c r="H78" s="57" t="n">
        <v>-1</v>
      </c>
      <c r="I78" s="58" t="s">
        <v>17</v>
      </c>
    </row>
    <row r="79" customFormat="false" ht="13.5" hidden="false" customHeight="true" outlineLevel="0" collapsed="false">
      <c r="A79" s="54" t="s">
        <v>67</v>
      </c>
      <c r="B79" s="76" t="s">
        <v>169</v>
      </c>
      <c r="C79" s="76" t="s">
        <v>170</v>
      </c>
      <c r="D79" s="76" t="s">
        <v>184</v>
      </c>
      <c r="E79" s="55" t="n">
        <v>5678.57142851214</v>
      </c>
      <c r="F79" s="55" t="n">
        <v>0</v>
      </c>
      <c r="G79" s="56" t="n">
        <v>-5678.57142851214</v>
      </c>
      <c r="H79" s="57" t="n">
        <v>-1</v>
      </c>
      <c r="I79" s="58" t="s">
        <v>17</v>
      </c>
    </row>
    <row r="80" customFormat="false" ht="13.5" hidden="false" customHeight="true" outlineLevel="0" collapsed="false">
      <c r="A80" s="54" t="s">
        <v>67</v>
      </c>
      <c r="B80" s="76" t="s">
        <v>300</v>
      </c>
      <c r="C80" s="76" t="s">
        <v>178</v>
      </c>
      <c r="D80" s="76" t="s">
        <v>184</v>
      </c>
      <c r="E80" s="55" t="n">
        <v>5714.28571489655</v>
      </c>
      <c r="F80" s="55" t="n">
        <v>0</v>
      </c>
      <c r="G80" s="56" t="n">
        <v>-5714.28571489655</v>
      </c>
      <c r="H80" s="57" t="n">
        <v>-1</v>
      </c>
      <c r="I80" s="58" t="s">
        <v>17</v>
      </c>
    </row>
    <row r="81" customFormat="false" ht="13.5" hidden="false" customHeight="true" outlineLevel="0" collapsed="false">
      <c r="A81" s="49" t="s">
        <v>67</v>
      </c>
      <c r="B81" s="65" t="s">
        <v>175</v>
      </c>
      <c r="C81" s="65" t="s">
        <v>168</v>
      </c>
      <c r="D81" s="65" t="s">
        <v>164</v>
      </c>
      <c r="E81" s="50" t="n">
        <v>19272.0551392895</v>
      </c>
      <c r="F81" s="50" t="n">
        <v>11097.6190475</v>
      </c>
      <c r="G81" s="51" t="n">
        <v>-8174.43609178948</v>
      </c>
      <c r="H81" s="52" t="n">
        <v>-0.424160061431355</v>
      </c>
      <c r="I81" s="53" t="s">
        <v>15</v>
      </c>
    </row>
    <row r="82" customFormat="false" ht="13.5" hidden="false" customHeight="true" outlineLevel="0" collapsed="false">
      <c r="A82" s="54" t="s">
        <v>67</v>
      </c>
      <c r="B82" s="76" t="s">
        <v>159</v>
      </c>
      <c r="C82" s="76" t="s">
        <v>160</v>
      </c>
      <c r="D82" s="76" t="s">
        <v>164</v>
      </c>
      <c r="E82" s="55" t="n">
        <v>8293.44531499412</v>
      </c>
      <c r="F82" s="55" t="n">
        <v>0</v>
      </c>
      <c r="G82" s="56" t="n">
        <v>-8293.44531499412</v>
      </c>
      <c r="H82" s="57" t="n">
        <v>-1</v>
      </c>
      <c r="I82" s="58" t="s">
        <v>17</v>
      </c>
    </row>
    <row r="83" customFormat="false" ht="13.5" hidden="false" customHeight="true" outlineLevel="0" collapsed="false">
      <c r="A83" s="54" t="s">
        <v>67</v>
      </c>
      <c r="B83" s="76" t="s">
        <v>167</v>
      </c>
      <c r="C83" s="76" t="s">
        <v>168</v>
      </c>
      <c r="D83" s="76" t="s">
        <v>164</v>
      </c>
      <c r="E83" s="55" t="n">
        <v>8458.75515581102</v>
      </c>
      <c r="F83" s="55" t="n">
        <v>0</v>
      </c>
      <c r="G83" s="56" t="n">
        <v>-8458.75515581102</v>
      </c>
      <c r="H83" s="57" t="n">
        <v>-1</v>
      </c>
      <c r="I83" s="58" t="s">
        <v>17</v>
      </c>
    </row>
    <row r="84" customFormat="false" ht="13.5" hidden="false" customHeight="true" outlineLevel="0" collapsed="false">
      <c r="A84" s="54" t="s">
        <v>67</v>
      </c>
      <c r="B84" s="76" t="s">
        <v>301</v>
      </c>
      <c r="C84" s="76" t="s">
        <v>170</v>
      </c>
      <c r="D84" s="76" t="s">
        <v>184</v>
      </c>
      <c r="E84" s="55" t="n">
        <v>9285.714286</v>
      </c>
      <c r="F84" s="55" t="n">
        <v>0</v>
      </c>
      <c r="G84" s="56" t="n">
        <v>-9285.714286</v>
      </c>
      <c r="H84" s="57" t="n">
        <v>-1</v>
      </c>
      <c r="I84" s="58" t="s">
        <v>17</v>
      </c>
    </row>
    <row r="85" customFormat="false" ht="13.5" hidden="false" customHeight="true" outlineLevel="0" collapsed="false">
      <c r="A85" s="54" t="s">
        <v>67</v>
      </c>
      <c r="B85" s="76" t="s">
        <v>182</v>
      </c>
      <c r="C85" s="76" t="s">
        <v>178</v>
      </c>
      <c r="D85" s="76" t="s">
        <v>184</v>
      </c>
      <c r="E85" s="55" t="n">
        <v>9547.1124624219</v>
      </c>
      <c r="F85" s="55" t="n">
        <v>0</v>
      </c>
      <c r="G85" s="56" t="n">
        <v>-9547.1124624219</v>
      </c>
      <c r="H85" s="57" t="n">
        <v>-1</v>
      </c>
      <c r="I85" s="58" t="s">
        <v>17</v>
      </c>
    </row>
    <row r="86" customFormat="false" ht="13.5" hidden="false" customHeight="true" outlineLevel="0" collapsed="false">
      <c r="A86" s="54" t="s">
        <v>67</v>
      </c>
      <c r="B86" s="76" t="s">
        <v>185</v>
      </c>
      <c r="C86" s="76" t="s">
        <v>178</v>
      </c>
      <c r="D86" s="76" t="s">
        <v>184</v>
      </c>
      <c r="E86" s="55" t="n">
        <v>9682.53968288889</v>
      </c>
      <c r="F86" s="55" t="n">
        <v>0</v>
      </c>
      <c r="G86" s="56" t="n">
        <v>-9682.53968288889</v>
      </c>
      <c r="H86" s="57" t="n">
        <v>-1</v>
      </c>
      <c r="I86" s="58" t="s">
        <v>17</v>
      </c>
    </row>
    <row r="87" customFormat="false" ht="13.5" hidden="false" customHeight="true" outlineLevel="0" collapsed="false">
      <c r="A87" s="49" t="s">
        <v>67</v>
      </c>
      <c r="B87" s="65" t="s">
        <v>302</v>
      </c>
      <c r="C87" s="65" t="s">
        <v>178</v>
      </c>
      <c r="D87" s="65" t="s">
        <v>184</v>
      </c>
      <c r="E87" s="50" t="n">
        <v>19712.3456788459</v>
      </c>
      <c r="F87" s="50" t="n">
        <v>7557.14285721622</v>
      </c>
      <c r="G87" s="51" t="n">
        <v>-12155.2028216296</v>
      </c>
      <c r="H87" s="52" t="n">
        <v>-0.616628940039028</v>
      </c>
      <c r="I87" s="53" t="s">
        <v>15</v>
      </c>
    </row>
    <row r="88" customFormat="false" ht="13.5" hidden="false" customHeight="true" outlineLevel="0" collapsed="false">
      <c r="A88" s="49" t="s">
        <v>67</v>
      </c>
      <c r="B88" s="65" t="s">
        <v>303</v>
      </c>
      <c r="C88" s="65" t="s">
        <v>298</v>
      </c>
      <c r="D88" s="65" t="s">
        <v>286</v>
      </c>
      <c r="E88" s="50" t="n">
        <v>21525.9740252727</v>
      </c>
      <c r="F88" s="50" t="n">
        <v>7175.32467509091</v>
      </c>
      <c r="G88" s="51" t="n">
        <v>-14350.6493501818</v>
      </c>
      <c r="H88" s="52" t="n">
        <v>-0.666666666666667</v>
      </c>
      <c r="I88" s="53" t="s">
        <v>15</v>
      </c>
    </row>
    <row r="89" customFormat="false" ht="13.5" hidden="false" customHeight="true" outlineLevel="0" collapsed="false">
      <c r="A89" s="54" t="s">
        <v>67</v>
      </c>
      <c r="B89" s="76" t="s">
        <v>304</v>
      </c>
      <c r="C89" s="76" t="s">
        <v>298</v>
      </c>
      <c r="D89" s="76" t="s">
        <v>286</v>
      </c>
      <c r="E89" s="55" t="n">
        <v>26233.6134465882</v>
      </c>
      <c r="F89" s="55" t="n">
        <v>0</v>
      </c>
      <c r="G89" s="56" t="n">
        <v>-26233.6134465882</v>
      </c>
      <c r="H89" s="57" t="n">
        <v>-1</v>
      </c>
      <c r="I89" s="58" t="s">
        <v>17</v>
      </c>
    </row>
    <row r="90" customFormat="false" ht="13.5" hidden="false" customHeight="true" outlineLevel="0" collapsed="false">
      <c r="A90" s="45" t="s">
        <v>39</v>
      </c>
      <c r="B90" s="73" t="s">
        <v>188</v>
      </c>
      <c r="C90" s="73" t="s">
        <v>189</v>
      </c>
      <c r="D90" s="73" t="s">
        <v>305</v>
      </c>
      <c r="E90" s="46" t="n">
        <v>6197.33953</v>
      </c>
      <c r="F90" s="46" t="n">
        <v>6197.33953</v>
      </c>
      <c r="G90" s="74" t="n">
        <v>0</v>
      </c>
      <c r="H90" s="75" t="n">
        <v>0</v>
      </c>
      <c r="I90" s="45" t="s">
        <v>18</v>
      </c>
    </row>
    <row r="91" customFormat="false" ht="13.5" hidden="false" customHeight="true" outlineLevel="0" collapsed="false">
      <c r="A91" s="45" t="s">
        <v>39</v>
      </c>
      <c r="B91" s="73" t="s">
        <v>186</v>
      </c>
      <c r="C91" s="73" t="s">
        <v>187</v>
      </c>
      <c r="D91" s="73" t="s">
        <v>305</v>
      </c>
      <c r="E91" s="46" t="n">
        <v>0</v>
      </c>
      <c r="F91" s="46" t="n">
        <v>0</v>
      </c>
      <c r="G91" s="74" t="n">
        <v>0</v>
      </c>
      <c r="H91" s="48" t="s">
        <v>31</v>
      </c>
      <c r="I91" s="45" t="s">
        <v>18</v>
      </c>
    </row>
    <row r="92" customFormat="false" ht="13.5" hidden="false" customHeight="true" outlineLevel="0" collapsed="false">
      <c r="A92" s="54" t="s">
        <v>39</v>
      </c>
      <c r="B92" s="76" t="s">
        <v>210</v>
      </c>
      <c r="C92" s="76" t="s">
        <v>210</v>
      </c>
      <c r="D92" s="76" t="s">
        <v>210</v>
      </c>
      <c r="E92" s="55" t="n">
        <v>1041.39448393443</v>
      </c>
      <c r="F92" s="55" t="n">
        <v>0</v>
      </c>
      <c r="G92" s="56" t="n">
        <v>-1041.39448393443</v>
      </c>
      <c r="H92" s="57" t="n">
        <v>-1</v>
      </c>
      <c r="I92" s="58" t="s">
        <v>17</v>
      </c>
    </row>
    <row r="93" customFormat="false" ht="13.5" hidden="false" customHeight="true" outlineLevel="0" collapsed="false">
      <c r="A93" s="49" t="s">
        <v>39</v>
      </c>
      <c r="B93" s="65" t="s">
        <v>197</v>
      </c>
      <c r="C93" s="65" t="s">
        <v>187</v>
      </c>
      <c r="D93" s="65" t="s">
        <v>305</v>
      </c>
      <c r="E93" s="50" t="n">
        <v>3809.45903169845</v>
      </c>
      <c r="F93" s="50" t="n">
        <v>2586.98480924444</v>
      </c>
      <c r="G93" s="51" t="n">
        <v>-1222.474222454</v>
      </c>
      <c r="H93" s="52" t="n">
        <v>-0.32090494011927</v>
      </c>
      <c r="I93" s="53" t="s">
        <v>15</v>
      </c>
    </row>
    <row r="94" customFormat="false" ht="13.5" hidden="false" customHeight="true" outlineLevel="0" collapsed="false">
      <c r="A94" s="54" t="s">
        <v>39</v>
      </c>
      <c r="B94" s="76" t="s">
        <v>195</v>
      </c>
      <c r="C94" s="76" t="s">
        <v>189</v>
      </c>
      <c r="D94" s="76" t="s">
        <v>305</v>
      </c>
      <c r="E94" s="55" t="n">
        <v>3381.00338097959</v>
      </c>
      <c r="F94" s="55" t="n">
        <v>0</v>
      </c>
      <c r="G94" s="56" t="n">
        <v>-3381.00338097959</v>
      </c>
      <c r="H94" s="57" t="n">
        <v>-1</v>
      </c>
      <c r="I94" s="58" t="s">
        <v>17</v>
      </c>
    </row>
    <row r="95" customFormat="false" ht="13.5" hidden="false" customHeight="true" outlineLevel="0" collapsed="false">
      <c r="A95" s="45" t="s">
        <v>30</v>
      </c>
      <c r="B95" s="73" t="s">
        <v>210</v>
      </c>
      <c r="C95" s="73" t="s">
        <v>210</v>
      </c>
      <c r="D95" s="73" t="s">
        <v>210</v>
      </c>
      <c r="E95" s="46" t="n">
        <v>0</v>
      </c>
      <c r="F95" s="46" t="n">
        <v>0</v>
      </c>
      <c r="G95" s="74" t="n">
        <v>0</v>
      </c>
      <c r="H95" s="48" t="s">
        <v>31</v>
      </c>
      <c r="I95" s="45" t="s">
        <v>18</v>
      </c>
    </row>
    <row r="96" customFormat="false" ht="13.5" hidden="false" customHeight="true" outlineLevel="0" collapsed="false">
      <c r="A96" s="45" t="s">
        <v>53</v>
      </c>
      <c r="B96" s="73" t="s">
        <v>306</v>
      </c>
      <c r="C96" s="73" t="s">
        <v>307</v>
      </c>
      <c r="D96" s="73" t="s">
        <v>308</v>
      </c>
      <c r="E96" s="46" t="n">
        <v>9111.184205</v>
      </c>
      <c r="F96" s="46" t="n">
        <v>9111.184205</v>
      </c>
      <c r="G96" s="74" t="n">
        <v>0</v>
      </c>
      <c r="H96" s="75" t="n">
        <v>0</v>
      </c>
      <c r="I96" s="45" t="s">
        <v>18</v>
      </c>
    </row>
    <row r="97" customFormat="false" ht="13.5" hidden="false" customHeight="true" outlineLevel="0" collapsed="false">
      <c r="A97" s="54" t="s">
        <v>53</v>
      </c>
      <c r="B97" s="76" t="s">
        <v>309</v>
      </c>
      <c r="C97" s="76" t="s">
        <v>307</v>
      </c>
      <c r="D97" s="76" t="s">
        <v>308</v>
      </c>
      <c r="E97" s="55" t="n">
        <v>2519.929341875</v>
      </c>
      <c r="F97" s="55" t="n">
        <v>0</v>
      </c>
      <c r="G97" s="56" t="n">
        <v>-2519.929341875</v>
      </c>
      <c r="H97" s="57" t="n">
        <v>-1</v>
      </c>
      <c r="I97" s="58" t="s">
        <v>17</v>
      </c>
    </row>
    <row r="98" customFormat="false" ht="13.5" hidden="false" customHeight="true" outlineLevel="0" collapsed="false">
      <c r="A98" s="49" t="s">
        <v>53</v>
      </c>
      <c r="B98" s="65" t="s">
        <v>210</v>
      </c>
      <c r="C98" s="65" t="s">
        <v>210</v>
      </c>
      <c r="D98" s="65" t="s">
        <v>210</v>
      </c>
      <c r="E98" s="50" t="n">
        <v>8596.50018082895</v>
      </c>
      <c r="F98" s="50" t="n">
        <v>3193.74262982353</v>
      </c>
      <c r="G98" s="51" t="n">
        <v>-5402.75755100542</v>
      </c>
      <c r="H98" s="52" t="n">
        <v>-0.628483387117714</v>
      </c>
      <c r="I98" s="53" t="s">
        <v>15</v>
      </c>
    </row>
    <row r="99" customFormat="false" ht="13.5" hidden="false" customHeight="true" outlineLevel="0" collapsed="false">
      <c r="A99" s="54" t="s">
        <v>53</v>
      </c>
      <c r="B99" s="76" t="s">
        <v>310</v>
      </c>
      <c r="C99" s="76" t="s">
        <v>307</v>
      </c>
      <c r="D99" s="76" t="s">
        <v>308</v>
      </c>
      <c r="E99" s="55" t="n">
        <v>8235.11786011848</v>
      </c>
      <c r="F99" s="55" t="n">
        <v>0</v>
      </c>
      <c r="G99" s="56" t="n">
        <v>-8235.11786011848</v>
      </c>
      <c r="H99" s="57" t="n">
        <v>-1</v>
      </c>
      <c r="I99" s="58" t="s">
        <v>17</v>
      </c>
    </row>
    <row r="100" customFormat="false" ht="13.5" hidden="false" customHeight="true" outlineLevel="0" collapsed="false">
      <c r="A100" s="45" t="s">
        <v>65</v>
      </c>
      <c r="B100" s="73" t="s">
        <v>311</v>
      </c>
      <c r="C100" s="73" t="s">
        <v>96</v>
      </c>
      <c r="D100" s="73" t="s">
        <v>312</v>
      </c>
      <c r="E100" s="46" t="n">
        <v>26873.859107875</v>
      </c>
      <c r="F100" s="46" t="n">
        <v>26873.859107875</v>
      </c>
      <c r="G100" s="74" t="n">
        <v>0</v>
      </c>
      <c r="H100" s="75" t="n">
        <v>0</v>
      </c>
      <c r="I100" s="45" t="s">
        <v>18</v>
      </c>
    </row>
    <row r="101" customFormat="false" ht="13.5" hidden="false" customHeight="true" outlineLevel="0" collapsed="false">
      <c r="A101" s="45" t="s">
        <v>65</v>
      </c>
      <c r="B101" s="73" t="s">
        <v>313</v>
      </c>
      <c r="C101" s="73" t="s">
        <v>115</v>
      </c>
      <c r="D101" s="73" t="s">
        <v>314</v>
      </c>
      <c r="E101" s="46" t="n">
        <v>1047.81004791667</v>
      </c>
      <c r="F101" s="46" t="n">
        <v>1047.81004791667</v>
      </c>
      <c r="G101" s="74" t="n">
        <v>0</v>
      </c>
      <c r="H101" s="75" t="n">
        <v>0</v>
      </c>
      <c r="I101" s="45" t="s">
        <v>18</v>
      </c>
    </row>
    <row r="102" customFormat="false" ht="13.5" hidden="false" customHeight="true" outlineLevel="0" collapsed="false">
      <c r="A102" s="45" t="s">
        <v>65</v>
      </c>
      <c r="B102" s="73" t="s">
        <v>315</v>
      </c>
      <c r="C102" s="73" t="s">
        <v>314</v>
      </c>
      <c r="D102" s="73" t="s">
        <v>316</v>
      </c>
      <c r="E102" s="46" t="n">
        <v>252.105252020896</v>
      </c>
      <c r="F102" s="46" t="n">
        <v>252.105252020896</v>
      </c>
      <c r="G102" s="74" t="n">
        <v>0</v>
      </c>
      <c r="H102" s="75" t="n">
        <v>0</v>
      </c>
      <c r="I102" s="45" t="s">
        <v>18</v>
      </c>
    </row>
    <row r="103" customFormat="false" ht="13.5" hidden="false" customHeight="true" outlineLevel="0" collapsed="false">
      <c r="A103" s="45" t="s">
        <v>65</v>
      </c>
      <c r="B103" s="73" t="s">
        <v>105</v>
      </c>
      <c r="C103" s="73" t="s">
        <v>96</v>
      </c>
      <c r="D103" s="73" t="s">
        <v>312</v>
      </c>
      <c r="E103" s="46" t="n">
        <v>19062.8531309619</v>
      </c>
      <c r="F103" s="46" t="n">
        <v>19062.8531309619</v>
      </c>
      <c r="G103" s="74" t="n">
        <v>0</v>
      </c>
      <c r="H103" s="75" t="n">
        <v>0</v>
      </c>
      <c r="I103" s="45" t="s">
        <v>18</v>
      </c>
    </row>
    <row r="104" customFormat="false" ht="13.5" hidden="false" customHeight="true" outlineLevel="0" collapsed="false">
      <c r="A104" s="45" t="s">
        <v>65</v>
      </c>
      <c r="B104" s="73" t="s">
        <v>107</v>
      </c>
      <c r="C104" s="73" t="s">
        <v>92</v>
      </c>
      <c r="D104" s="73" t="s">
        <v>317</v>
      </c>
      <c r="E104" s="46" t="n">
        <v>0</v>
      </c>
      <c r="F104" s="46" t="n">
        <v>0</v>
      </c>
      <c r="G104" s="74" t="n">
        <v>0</v>
      </c>
      <c r="H104" s="48" t="s">
        <v>31</v>
      </c>
      <c r="I104" s="45" t="s">
        <v>18</v>
      </c>
    </row>
    <row r="105" customFormat="false" ht="13.5" hidden="false" customHeight="true" outlineLevel="0" collapsed="false">
      <c r="A105" s="45" t="s">
        <v>65</v>
      </c>
      <c r="B105" s="73" t="s">
        <v>110</v>
      </c>
      <c r="C105" s="73" t="s">
        <v>111</v>
      </c>
      <c r="D105" s="73" t="s">
        <v>318</v>
      </c>
      <c r="E105" s="46" t="n">
        <v>33893.1356520319</v>
      </c>
      <c r="F105" s="46" t="n">
        <v>33893.1356520319</v>
      </c>
      <c r="G105" s="74" t="n">
        <v>0</v>
      </c>
      <c r="H105" s="75" t="n">
        <v>0</v>
      </c>
      <c r="I105" s="45" t="s">
        <v>18</v>
      </c>
    </row>
    <row r="106" customFormat="false" ht="13.5" hidden="false" customHeight="true" outlineLevel="0" collapsed="false">
      <c r="A106" s="45" t="s">
        <v>65</v>
      </c>
      <c r="B106" s="73" t="s">
        <v>91</v>
      </c>
      <c r="C106" s="73" t="s">
        <v>92</v>
      </c>
      <c r="D106" s="73" t="s">
        <v>317</v>
      </c>
      <c r="E106" s="46" t="n">
        <v>9965.42446521826</v>
      </c>
      <c r="F106" s="46" t="n">
        <v>9965.42446521826</v>
      </c>
      <c r="G106" s="74" t="n">
        <v>0</v>
      </c>
      <c r="H106" s="75" t="n">
        <v>0</v>
      </c>
      <c r="I106" s="45" t="s">
        <v>18</v>
      </c>
    </row>
    <row r="107" customFormat="false" ht="13.5" hidden="false" customHeight="true" outlineLevel="0" collapsed="false">
      <c r="A107" s="45" t="s">
        <v>65</v>
      </c>
      <c r="B107" s="73" t="s">
        <v>112</v>
      </c>
      <c r="C107" s="73" t="s">
        <v>103</v>
      </c>
      <c r="D107" s="73" t="s">
        <v>314</v>
      </c>
      <c r="E107" s="46" t="n">
        <v>1140.14480672222</v>
      </c>
      <c r="F107" s="46" t="n">
        <v>1140.14480672222</v>
      </c>
      <c r="G107" s="74" t="n">
        <v>0</v>
      </c>
      <c r="H107" s="75" t="n">
        <v>0</v>
      </c>
      <c r="I107" s="45" t="s">
        <v>18</v>
      </c>
    </row>
    <row r="108" customFormat="false" ht="13.5" hidden="false" customHeight="true" outlineLevel="0" collapsed="false">
      <c r="A108" s="45" t="s">
        <v>65</v>
      </c>
      <c r="B108" s="73" t="s">
        <v>95</v>
      </c>
      <c r="C108" s="73" t="s">
        <v>96</v>
      </c>
      <c r="D108" s="73" t="s">
        <v>312</v>
      </c>
      <c r="E108" s="46" t="n">
        <v>48263.298259</v>
      </c>
      <c r="F108" s="46" t="n">
        <v>48263.298259</v>
      </c>
      <c r="G108" s="74" t="n">
        <v>0</v>
      </c>
      <c r="H108" s="75" t="n">
        <v>0</v>
      </c>
      <c r="I108" s="45" t="s">
        <v>18</v>
      </c>
    </row>
    <row r="109" customFormat="false" ht="13.5" hidden="false" customHeight="true" outlineLevel="0" collapsed="false">
      <c r="A109" s="45" t="s">
        <v>65</v>
      </c>
      <c r="B109" s="73" t="s">
        <v>113</v>
      </c>
      <c r="C109" s="73" t="s">
        <v>109</v>
      </c>
      <c r="D109" s="73" t="s">
        <v>319</v>
      </c>
      <c r="E109" s="46" t="n">
        <v>35340.9172041494</v>
      </c>
      <c r="F109" s="46" t="n">
        <v>35340.9172041494</v>
      </c>
      <c r="G109" s="74" t="n">
        <v>0</v>
      </c>
      <c r="H109" s="75" t="n">
        <v>0</v>
      </c>
      <c r="I109" s="45" t="s">
        <v>18</v>
      </c>
    </row>
    <row r="110" customFormat="false" ht="13.5" hidden="false" customHeight="true" outlineLevel="0" collapsed="false">
      <c r="A110" s="45" t="s">
        <v>65</v>
      </c>
      <c r="B110" s="73" t="s">
        <v>114</v>
      </c>
      <c r="C110" s="73" t="s">
        <v>115</v>
      </c>
      <c r="D110" s="73" t="s">
        <v>314</v>
      </c>
      <c r="E110" s="46" t="n">
        <v>3124.58552168966</v>
      </c>
      <c r="F110" s="46" t="n">
        <v>3124.58552168966</v>
      </c>
      <c r="G110" s="74" t="n">
        <v>0</v>
      </c>
      <c r="H110" s="75" t="n">
        <v>0</v>
      </c>
      <c r="I110" s="45" t="s">
        <v>18</v>
      </c>
    </row>
    <row r="111" customFormat="false" ht="13.5" hidden="false" customHeight="true" outlineLevel="0" collapsed="false">
      <c r="A111" s="45" t="s">
        <v>65</v>
      </c>
      <c r="B111" s="73" t="s">
        <v>320</v>
      </c>
      <c r="C111" s="73" t="s">
        <v>321</v>
      </c>
      <c r="D111" s="73" t="s">
        <v>322</v>
      </c>
      <c r="E111" s="46" t="n">
        <v>0</v>
      </c>
      <c r="F111" s="46" t="n">
        <v>0</v>
      </c>
      <c r="G111" s="74" t="n">
        <v>0</v>
      </c>
      <c r="H111" s="48" t="s">
        <v>31</v>
      </c>
      <c r="I111" s="45" t="s">
        <v>18</v>
      </c>
    </row>
    <row r="112" customFormat="false" ht="13.5" hidden="false" customHeight="true" outlineLevel="0" collapsed="false">
      <c r="A112" s="45" t="s">
        <v>65</v>
      </c>
      <c r="B112" s="73" t="s">
        <v>120</v>
      </c>
      <c r="C112" s="73" t="s">
        <v>121</v>
      </c>
      <c r="D112" s="73" t="s">
        <v>323</v>
      </c>
      <c r="E112" s="46" t="n">
        <v>14868.014864</v>
      </c>
      <c r="F112" s="46" t="n">
        <v>14868.014864</v>
      </c>
      <c r="G112" s="74" t="n">
        <v>0</v>
      </c>
      <c r="H112" s="75" t="n">
        <v>0</v>
      </c>
      <c r="I112" s="45" t="s">
        <v>18</v>
      </c>
    </row>
    <row r="113" customFormat="false" ht="13.5" hidden="false" customHeight="true" outlineLevel="0" collapsed="false">
      <c r="A113" s="45" t="s">
        <v>65</v>
      </c>
      <c r="B113" s="73" t="s">
        <v>124</v>
      </c>
      <c r="C113" s="73" t="s">
        <v>121</v>
      </c>
      <c r="D113" s="73" t="s">
        <v>323</v>
      </c>
      <c r="E113" s="46" t="n">
        <v>5769.82515913043</v>
      </c>
      <c r="F113" s="46" t="n">
        <v>5769.82515913043</v>
      </c>
      <c r="G113" s="74" t="n">
        <v>0</v>
      </c>
      <c r="H113" s="75" t="n">
        <v>0</v>
      </c>
      <c r="I113" s="45" t="s">
        <v>18</v>
      </c>
    </row>
    <row r="114" customFormat="false" ht="13.5" hidden="false" customHeight="true" outlineLevel="0" collapsed="false">
      <c r="A114" s="45" t="s">
        <v>65</v>
      </c>
      <c r="B114" s="73" t="s">
        <v>324</v>
      </c>
      <c r="C114" s="73" t="s">
        <v>314</v>
      </c>
      <c r="D114" s="73" t="s">
        <v>316</v>
      </c>
      <c r="E114" s="46" t="n">
        <v>0</v>
      </c>
      <c r="F114" s="46" t="n">
        <v>0</v>
      </c>
      <c r="G114" s="74" t="n">
        <v>0</v>
      </c>
      <c r="H114" s="48" t="s">
        <v>31</v>
      </c>
      <c r="I114" s="45" t="s">
        <v>18</v>
      </c>
    </row>
    <row r="115" customFormat="false" ht="13.5" hidden="false" customHeight="true" outlineLevel="0" collapsed="false">
      <c r="A115" s="45" t="s">
        <v>65</v>
      </c>
      <c r="B115" s="73" t="s">
        <v>127</v>
      </c>
      <c r="C115" s="73" t="s">
        <v>94</v>
      </c>
      <c r="D115" s="73" t="s">
        <v>314</v>
      </c>
      <c r="E115" s="46" t="n">
        <v>41275.0260089455</v>
      </c>
      <c r="F115" s="46" t="n">
        <v>41275.0260089455</v>
      </c>
      <c r="G115" s="74" t="n">
        <v>0</v>
      </c>
      <c r="H115" s="75" t="n">
        <v>0</v>
      </c>
      <c r="I115" s="45" t="s">
        <v>18</v>
      </c>
    </row>
    <row r="116" customFormat="false" ht="13.5" hidden="false" customHeight="true" outlineLevel="0" collapsed="false">
      <c r="A116" s="45" t="s">
        <v>65</v>
      </c>
      <c r="B116" s="73" t="s">
        <v>325</v>
      </c>
      <c r="C116" s="73" t="s">
        <v>103</v>
      </c>
      <c r="D116" s="73" t="s">
        <v>314</v>
      </c>
      <c r="E116" s="46" t="n">
        <v>1476.77071</v>
      </c>
      <c r="F116" s="46" t="n">
        <v>1476.77071</v>
      </c>
      <c r="G116" s="74" t="n">
        <v>0</v>
      </c>
      <c r="H116" s="75" t="n">
        <v>0</v>
      </c>
      <c r="I116" s="45" t="s">
        <v>18</v>
      </c>
    </row>
    <row r="117" customFormat="false" ht="13.5" hidden="false" customHeight="true" outlineLevel="0" collapsed="false">
      <c r="A117" s="45" t="s">
        <v>65</v>
      </c>
      <c r="B117" s="73" t="s">
        <v>326</v>
      </c>
      <c r="C117" s="73" t="s">
        <v>327</v>
      </c>
      <c r="D117" s="73" t="s">
        <v>312</v>
      </c>
      <c r="E117" s="46" t="n">
        <v>2976.75297675</v>
      </c>
      <c r="F117" s="46" t="n">
        <v>2976.75297675</v>
      </c>
      <c r="G117" s="74" t="n">
        <v>0</v>
      </c>
      <c r="H117" s="75" t="n">
        <v>0</v>
      </c>
      <c r="I117" s="45" t="s">
        <v>18</v>
      </c>
    </row>
    <row r="118" customFormat="false" ht="13.5" hidden="false" customHeight="true" outlineLevel="0" collapsed="false">
      <c r="A118" s="45" t="s">
        <v>65</v>
      </c>
      <c r="B118" s="73" t="s">
        <v>328</v>
      </c>
      <c r="C118" s="73" t="s">
        <v>329</v>
      </c>
      <c r="D118" s="73" t="s">
        <v>330</v>
      </c>
      <c r="E118" s="46" t="n">
        <v>12247.4747473077</v>
      </c>
      <c r="F118" s="46" t="n">
        <v>12247.4747473077</v>
      </c>
      <c r="G118" s="74" t="n">
        <v>0</v>
      </c>
      <c r="H118" s="75" t="n">
        <v>0</v>
      </c>
      <c r="I118" s="45" t="s">
        <v>18</v>
      </c>
    </row>
    <row r="119" customFormat="false" ht="13.5" hidden="false" customHeight="true" outlineLevel="0" collapsed="false">
      <c r="A119" s="54" t="s">
        <v>65</v>
      </c>
      <c r="B119" s="76" t="s">
        <v>102</v>
      </c>
      <c r="C119" s="76" t="s">
        <v>331</v>
      </c>
      <c r="D119" s="76" t="s">
        <v>322</v>
      </c>
      <c r="E119" s="55" t="n">
        <v>284.537605320755</v>
      </c>
      <c r="F119" s="55" t="n">
        <v>0</v>
      </c>
      <c r="G119" s="56" t="n">
        <v>-284.537605320755</v>
      </c>
      <c r="H119" s="57" t="n">
        <v>-1</v>
      </c>
      <c r="I119" s="58" t="s">
        <v>17</v>
      </c>
    </row>
    <row r="120" customFormat="false" ht="13.5" hidden="false" customHeight="true" outlineLevel="0" collapsed="false">
      <c r="A120" s="54" t="s">
        <v>65</v>
      </c>
      <c r="B120" s="76" t="s">
        <v>108</v>
      </c>
      <c r="C120" s="76" t="s">
        <v>109</v>
      </c>
      <c r="D120" s="76" t="s">
        <v>319</v>
      </c>
      <c r="E120" s="55" t="n">
        <v>1258.24355816842</v>
      </c>
      <c r="F120" s="55" t="n">
        <v>0</v>
      </c>
      <c r="G120" s="56" t="n">
        <v>-1258.24355816842</v>
      </c>
      <c r="H120" s="57" t="n">
        <v>-1</v>
      </c>
      <c r="I120" s="58" t="s">
        <v>17</v>
      </c>
    </row>
    <row r="121" customFormat="false" ht="13.5" hidden="false" customHeight="true" outlineLevel="0" collapsed="false">
      <c r="A121" s="49" t="s">
        <v>65</v>
      </c>
      <c r="B121" s="65" t="s">
        <v>93</v>
      </c>
      <c r="C121" s="65" t="s">
        <v>332</v>
      </c>
      <c r="D121" s="65" t="s">
        <v>319</v>
      </c>
      <c r="E121" s="50" t="n">
        <v>6521.27414004975</v>
      </c>
      <c r="F121" s="50" t="n">
        <v>4954.15201294118</v>
      </c>
      <c r="G121" s="51" t="n">
        <v>-1567.12212710857</v>
      </c>
      <c r="H121" s="52" t="n">
        <v>-0.240309193181168</v>
      </c>
      <c r="I121" s="53" t="s">
        <v>15</v>
      </c>
    </row>
    <row r="122" customFormat="false" ht="13.5" hidden="false" customHeight="true" outlineLevel="0" collapsed="false">
      <c r="A122" s="54" t="s">
        <v>65</v>
      </c>
      <c r="B122" s="76" t="s">
        <v>97</v>
      </c>
      <c r="C122" s="76" t="s">
        <v>98</v>
      </c>
      <c r="D122" s="76" t="s">
        <v>314</v>
      </c>
      <c r="E122" s="55" t="n">
        <v>1624.35131706447</v>
      </c>
      <c r="F122" s="55" t="n">
        <v>0</v>
      </c>
      <c r="G122" s="56" t="n">
        <v>-1624.35131706447</v>
      </c>
      <c r="H122" s="57" t="n">
        <v>-1</v>
      </c>
      <c r="I122" s="58" t="s">
        <v>17</v>
      </c>
    </row>
    <row r="123" customFormat="false" ht="13.5" hidden="false" customHeight="true" outlineLevel="0" collapsed="false">
      <c r="A123" s="49" t="s">
        <v>65</v>
      </c>
      <c r="B123" s="65" t="s">
        <v>333</v>
      </c>
      <c r="C123" s="65" t="s">
        <v>334</v>
      </c>
      <c r="D123" s="65" t="s">
        <v>335</v>
      </c>
      <c r="E123" s="50" t="n">
        <v>2709.44793648052</v>
      </c>
      <c r="F123" s="50" t="n">
        <v>854.027353571428</v>
      </c>
      <c r="G123" s="51" t="n">
        <v>-1855.42058290909</v>
      </c>
      <c r="H123" s="52" t="n">
        <v>-0.684796543948071</v>
      </c>
      <c r="I123" s="53" t="s">
        <v>15</v>
      </c>
    </row>
    <row r="124" customFormat="false" ht="13.5" hidden="false" customHeight="true" outlineLevel="0" collapsed="false">
      <c r="A124" s="54" t="s">
        <v>65</v>
      </c>
      <c r="B124" s="76" t="s">
        <v>336</v>
      </c>
      <c r="C124" s="76" t="s">
        <v>337</v>
      </c>
      <c r="D124" s="76" t="s">
        <v>335</v>
      </c>
      <c r="E124" s="55" t="n">
        <v>2014.48251514286</v>
      </c>
      <c r="F124" s="55" t="n">
        <v>0</v>
      </c>
      <c r="G124" s="56" t="n">
        <v>-2014.48251514286</v>
      </c>
      <c r="H124" s="57" t="n">
        <v>-1</v>
      </c>
      <c r="I124" s="58" t="s">
        <v>17</v>
      </c>
    </row>
    <row r="125" customFormat="false" ht="13.5" hidden="false" customHeight="true" outlineLevel="0" collapsed="false">
      <c r="A125" s="54" t="s">
        <v>65</v>
      </c>
      <c r="B125" s="76" t="s">
        <v>338</v>
      </c>
      <c r="C125" s="76" t="s">
        <v>94</v>
      </c>
      <c r="D125" s="76" t="s">
        <v>314</v>
      </c>
      <c r="E125" s="55" t="n">
        <v>4303.01230321429</v>
      </c>
      <c r="F125" s="55" t="n">
        <v>0</v>
      </c>
      <c r="G125" s="56" t="n">
        <v>-4303.01230321429</v>
      </c>
      <c r="H125" s="57" t="n">
        <v>-1</v>
      </c>
      <c r="I125" s="58" t="s">
        <v>17</v>
      </c>
    </row>
    <row r="126" customFormat="false" ht="13.5" hidden="false" customHeight="true" outlineLevel="0" collapsed="false">
      <c r="A126" s="49" t="s">
        <v>65</v>
      </c>
      <c r="B126" s="65" t="s">
        <v>89</v>
      </c>
      <c r="C126" s="65" t="s">
        <v>90</v>
      </c>
      <c r="D126" s="65" t="s">
        <v>323</v>
      </c>
      <c r="E126" s="50" t="n">
        <v>12420.7556209185</v>
      </c>
      <c r="F126" s="50" t="n">
        <v>8055.58625573333</v>
      </c>
      <c r="G126" s="51" t="n">
        <v>-4365.16936518519</v>
      </c>
      <c r="H126" s="52" t="n">
        <v>-0.351441530484148</v>
      </c>
      <c r="I126" s="53" t="s">
        <v>15</v>
      </c>
    </row>
    <row r="127" customFormat="false" ht="13.5" hidden="false" customHeight="true" outlineLevel="0" collapsed="false">
      <c r="A127" s="49" t="s">
        <v>65</v>
      </c>
      <c r="B127" s="65" t="s">
        <v>123</v>
      </c>
      <c r="C127" s="65" t="s">
        <v>109</v>
      </c>
      <c r="D127" s="65" t="s">
        <v>319</v>
      </c>
      <c r="E127" s="50" t="n">
        <v>36543.3172738218</v>
      </c>
      <c r="F127" s="50" t="n">
        <v>31820.7960808197</v>
      </c>
      <c r="G127" s="51" t="n">
        <v>-4722.52119300208</v>
      </c>
      <c r="H127" s="52" t="n">
        <v>-0.129230774470087</v>
      </c>
      <c r="I127" s="53" t="s">
        <v>15</v>
      </c>
    </row>
    <row r="128" customFormat="false" ht="13.5" hidden="false" customHeight="true" outlineLevel="0" collapsed="false">
      <c r="A128" s="54" t="s">
        <v>65</v>
      </c>
      <c r="B128" s="76" t="s">
        <v>339</v>
      </c>
      <c r="C128" s="76" t="s">
        <v>340</v>
      </c>
      <c r="D128" s="76" t="s">
        <v>312</v>
      </c>
      <c r="E128" s="55" t="n">
        <v>6603.209853</v>
      </c>
      <c r="F128" s="55" t="n">
        <v>0</v>
      </c>
      <c r="G128" s="56" t="n">
        <v>-6603.209853</v>
      </c>
      <c r="H128" s="57" t="n">
        <v>-1</v>
      </c>
      <c r="I128" s="58" t="s">
        <v>17</v>
      </c>
    </row>
    <row r="129" customFormat="false" ht="13.5" hidden="false" customHeight="true" outlineLevel="0" collapsed="false">
      <c r="A129" s="49" t="s">
        <v>65</v>
      </c>
      <c r="B129" s="65" t="s">
        <v>130</v>
      </c>
      <c r="C129" s="65" t="s">
        <v>119</v>
      </c>
      <c r="D129" s="65" t="s">
        <v>323</v>
      </c>
      <c r="E129" s="50" t="n">
        <v>27306.9679101057</v>
      </c>
      <c r="F129" s="50" t="n">
        <v>15646.3401875851</v>
      </c>
      <c r="G129" s="51" t="n">
        <v>-11660.6277225206</v>
      </c>
      <c r="H129" s="52" t="n">
        <v>-0.427020230181075</v>
      </c>
      <c r="I129" s="53" t="s">
        <v>15</v>
      </c>
    </row>
    <row r="130" customFormat="false" ht="13.5" hidden="false" customHeight="true" outlineLevel="0" collapsed="false">
      <c r="A130" s="49" t="s">
        <v>65</v>
      </c>
      <c r="B130" s="65" t="s">
        <v>210</v>
      </c>
      <c r="C130" s="65" t="s">
        <v>210</v>
      </c>
      <c r="D130" s="65" t="s">
        <v>210</v>
      </c>
      <c r="E130" s="50" t="n">
        <v>18966.2882207255</v>
      </c>
      <c r="F130" s="50" t="n">
        <v>119.883616286932</v>
      </c>
      <c r="G130" s="51" t="n">
        <v>-18846.4046044385</v>
      </c>
      <c r="H130" s="52" t="n">
        <v>-0.993679120822601</v>
      </c>
      <c r="I130" s="53" t="s">
        <v>15</v>
      </c>
    </row>
    <row r="131" customFormat="false" ht="13.5" hidden="false" customHeight="true" outlineLevel="0" collapsed="false">
      <c r="A131" s="45" t="s">
        <v>62</v>
      </c>
      <c r="B131" s="73" t="s">
        <v>341</v>
      </c>
      <c r="C131" s="73" t="s">
        <v>199</v>
      </c>
      <c r="D131" s="73" t="s">
        <v>342</v>
      </c>
      <c r="E131" s="46" t="n">
        <v>2925.02727207692</v>
      </c>
      <c r="F131" s="46" t="n">
        <v>2925.02727207692</v>
      </c>
      <c r="G131" s="74" t="n">
        <v>0</v>
      </c>
      <c r="H131" s="75" t="n">
        <v>0</v>
      </c>
      <c r="I131" s="45" t="s">
        <v>18</v>
      </c>
    </row>
    <row r="132" customFormat="false" ht="13.5" hidden="false" customHeight="true" outlineLevel="0" collapsed="false">
      <c r="A132" s="45" t="s">
        <v>62</v>
      </c>
      <c r="B132" s="73" t="s">
        <v>343</v>
      </c>
      <c r="C132" s="73" t="s">
        <v>344</v>
      </c>
      <c r="D132" s="73" t="s">
        <v>345</v>
      </c>
      <c r="E132" s="46" t="n">
        <v>2739.05111803846</v>
      </c>
      <c r="F132" s="46" t="n">
        <v>2739.05111803846</v>
      </c>
      <c r="G132" s="74" t="n">
        <v>0</v>
      </c>
      <c r="H132" s="75" t="n">
        <v>0</v>
      </c>
      <c r="I132" s="45" t="s">
        <v>18</v>
      </c>
    </row>
    <row r="133" customFormat="false" ht="13.5" hidden="false" customHeight="true" outlineLevel="0" collapsed="false">
      <c r="A133" s="45" t="s">
        <v>62</v>
      </c>
      <c r="B133" s="73" t="s">
        <v>346</v>
      </c>
      <c r="C133" s="73" t="s">
        <v>344</v>
      </c>
      <c r="D133" s="73" t="s">
        <v>345</v>
      </c>
      <c r="E133" s="46" t="n">
        <v>1275.909091</v>
      </c>
      <c r="F133" s="46" t="n">
        <v>1275.909091</v>
      </c>
      <c r="G133" s="74" t="n">
        <v>0</v>
      </c>
      <c r="H133" s="75" t="n">
        <v>0</v>
      </c>
      <c r="I133" s="45" t="s">
        <v>18</v>
      </c>
    </row>
    <row r="134" customFormat="false" ht="13.5" hidden="false" customHeight="true" outlineLevel="0" collapsed="false">
      <c r="A134" s="54" t="s">
        <v>62</v>
      </c>
      <c r="B134" s="76" t="s">
        <v>347</v>
      </c>
      <c r="C134" s="76" t="s">
        <v>348</v>
      </c>
      <c r="D134" s="76" t="s">
        <v>345</v>
      </c>
      <c r="E134" s="55" t="n">
        <v>1325.660787</v>
      </c>
      <c r="F134" s="55" t="n">
        <v>0</v>
      </c>
      <c r="G134" s="56" t="n">
        <v>-1325.660787</v>
      </c>
      <c r="H134" s="57" t="n">
        <v>-1</v>
      </c>
      <c r="I134" s="58" t="s">
        <v>17</v>
      </c>
    </row>
    <row r="135" customFormat="false" ht="13.5" hidden="false" customHeight="true" outlineLevel="0" collapsed="false">
      <c r="A135" s="49" t="s">
        <v>62</v>
      </c>
      <c r="B135" s="65" t="s">
        <v>198</v>
      </c>
      <c r="C135" s="65" t="s">
        <v>349</v>
      </c>
      <c r="D135" s="65" t="s">
        <v>342</v>
      </c>
      <c r="E135" s="50" t="n">
        <v>64045.3634306826</v>
      </c>
      <c r="F135" s="50" t="n">
        <v>50801.9636481316</v>
      </c>
      <c r="G135" s="51" t="n">
        <v>-13243.399782551</v>
      </c>
      <c r="H135" s="52" t="n">
        <v>-0.206781554091492</v>
      </c>
      <c r="I135" s="53" t="s">
        <v>15</v>
      </c>
    </row>
    <row r="136" customFormat="false" ht="13.5" hidden="false" customHeight="true" outlineLevel="0" collapsed="false">
      <c r="A136" s="54" t="s">
        <v>62</v>
      </c>
      <c r="B136" s="76" t="s">
        <v>350</v>
      </c>
      <c r="C136" s="76" t="s">
        <v>351</v>
      </c>
      <c r="D136" s="76" t="s">
        <v>345</v>
      </c>
      <c r="E136" s="55" t="n">
        <v>20547.2730386572</v>
      </c>
      <c r="F136" s="55" t="n">
        <v>0</v>
      </c>
      <c r="G136" s="56" t="n">
        <v>-20547.2730386572</v>
      </c>
      <c r="H136" s="57" t="n">
        <v>-1</v>
      </c>
      <c r="I136" s="58" t="s">
        <v>17</v>
      </c>
    </row>
    <row r="137" customFormat="false" ht="13.5" hidden="false" customHeight="true" outlineLevel="0" collapsed="false">
      <c r="A137" s="45" t="s">
        <v>49</v>
      </c>
      <c r="B137" s="73" t="s">
        <v>76</v>
      </c>
      <c r="C137" s="73" t="s">
        <v>77</v>
      </c>
      <c r="D137" s="73" t="s">
        <v>352</v>
      </c>
      <c r="E137" s="46" t="n">
        <v>1303.1555554</v>
      </c>
      <c r="F137" s="46" t="n">
        <v>1303.1555554</v>
      </c>
      <c r="G137" s="74" t="n">
        <v>0</v>
      </c>
      <c r="H137" s="75" t="n">
        <v>0</v>
      </c>
      <c r="I137" s="45" t="s">
        <v>18</v>
      </c>
    </row>
    <row r="138" customFormat="false" ht="13.5" hidden="false" customHeight="true" outlineLevel="0" collapsed="false">
      <c r="A138" s="54" t="s">
        <v>49</v>
      </c>
      <c r="B138" s="76" t="s">
        <v>353</v>
      </c>
      <c r="C138" s="76" t="s">
        <v>354</v>
      </c>
      <c r="D138" s="76" t="s">
        <v>352</v>
      </c>
      <c r="E138" s="55" t="n">
        <v>4656.38783028572</v>
      </c>
      <c r="F138" s="55" t="n">
        <v>0</v>
      </c>
      <c r="G138" s="56" t="n">
        <v>-4656.38783028572</v>
      </c>
      <c r="H138" s="57" t="n">
        <v>-1</v>
      </c>
      <c r="I138" s="58" t="s">
        <v>17</v>
      </c>
    </row>
    <row r="139" customFormat="false" ht="13.5" hidden="false" customHeight="true" outlineLevel="0" collapsed="false">
      <c r="A139" s="49" t="s">
        <v>49</v>
      </c>
      <c r="B139" s="65" t="s">
        <v>78</v>
      </c>
      <c r="C139" s="65" t="s">
        <v>79</v>
      </c>
      <c r="D139" s="65" t="s">
        <v>355</v>
      </c>
      <c r="E139" s="50" t="n">
        <v>17547.6442866809</v>
      </c>
      <c r="F139" s="50" t="n">
        <v>12888.9733462194</v>
      </c>
      <c r="G139" s="51" t="n">
        <v>-4658.67094046154</v>
      </c>
      <c r="H139" s="52" t="n">
        <v>-0.265486971604364</v>
      </c>
      <c r="I139" s="53" t="s">
        <v>15</v>
      </c>
    </row>
    <row r="140" customFormat="false" ht="13.5" hidden="false" customHeight="true" outlineLevel="0" collapsed="false">
      <c r="A140" s="49" t="s">
        <v>63</v>
      </c>
      <c r="B140" s="65" t="s">
        <v>210</v>
      </c>
      <c r="C140" s="65" t="s">
        <v>210</v>
      </c>
      <c r="D140" s="65" t="s">
        <v>210</v>
      </c>
      <c r="E140" s="50" t="n">
        <v>39674.2475598686</v>
      </c>
      <c r="F140" s="50" t="n">
        <v>1097.6067592873</v>
      </c>
      <c r="G140" s="51" t="n">
        <v>-38576.6408005813</v>
      </c>
      <c r="H140" s="52" t="n">
        <v>-0.972334528647808</v>
      </c>
      <c r="I140" s="53" t="s">
        <v>15</v>
      </c>
    </row>
    <row r="141" customFormat="false" ht="13.5" hidden="false" customHeight="true" outlineLevel="0" collapsed="false">
      <c r="A141" s="45" t="s">
        <v>61</v>
      </c>
      <c r="B141" s="73" t="s">
        <v>137</v>
      </c>
      <c r="C141" s="73" t="s">
        <v>138</v>
      </c>
      <c r="D141" s="73" t="s">
        <v>356</v>
      </c>
      <c r="E141" s="46" t="n">
        <v>9497.578295</v>
      </c>
      <c r="F141" s="46" t="n">
        <v>9497.578295</v>
      </c>
      <c r="G141" s="74" t="n">
        <v>0</v>
      </c>
      <c r="H141" s="75" t="n">
        <v>0</v>
      </c>
      <c r="I141" s="45" t="s">
        <v>18</v>
      </c>
    </row>
    <row r="142" customFormat="false" ht="13.5" hidden="false" customHeight="true" outlineLevel="0" collapsed="false">
      <c r="A142" s="54" t="s">
        <v>61</v>
      </c>
      <c r="B142" s="76" t="s">
        <v>210</v>
      </c>
      <c r="C142" s="76" t="s">
        <v>210</v>
      </c>
      <c r="D142" s="76" t="s">
        <v>210</v>
      </c>
      <c r="E142" s="55" t="n">
        <v>2440.00634395</v>
      </c>
      <c r="F142" s="55" t="n">
        <v>0</v>
      </c>
      <c r="G142" s="56" t="n">
        <v>-2440.00634395</v>
      </c>
      <c r="H142" s="57" t="n">
        <v>-1</v>
      </c>
      <c r="I142" s="58" t="s">
        <v>17</v>
      </c>
    </row>
    <row r="143" customFormat="false" ht="13.5" hidden="false" customHeight="true" outlineLevel="0" collapsed="false">
      <c r="A143" s="54" t="s">
        <v>61</v>
      </c>
      <c r="B143" s="76" t="s">
        <v>357</v>
      </c>
      <c r="C143" s="76" t="s">
        <v>358</v>
      </c>
      <c r="D143" s="76" t="s">
        <v>359</v>
      </c>
      <c r="E143" s="55" t="n">
        <v>3599.94782153846</v>
      </c>
      <c r="F143" s="55" t="n">
        <v>0</v>
      </c>
      <c r="G143" s="56" t="n">
        <v>-3599.94782153846</v>
      </c>
      <c r="H143" s="57" t="n">
        <v>-1</v>
      </c>
      <c r="I143" s="58" t="s">
        <v>17</v>
      </c>
    </row>
    <row r="144" customFormat="false" ht="13.5" hidden="false" customHeight="true" outlineLevel="0" collapsed="false">
      <c r="A144" s="49" t="s">
        <v>61</v>
      </c>
      <c r="B144" s="65" t="s">
        <v>135</v>
      </c>
      <c r="C144" s="65" t="s">
        <v>136</v>
      </c>
      <c r="D144" s="65" t="s">
        <v>359</v>
      </c>
      <c r="E144" s="50" t="n">
        <v>59706.9040259757</v>
      </c>
      <c r="F144" s="50" t="n">
        <v>31734.8806217945</v>
      </c>
      <c r="G144" s="51" t="n">
        <v>-27972.0234041812</v>
      </c>
      <c r="H144" s="52" t="n">
        <v>-0.468488927042874</v>
      </c>
      <c r="I144" s="53" t="s">
        <v>15</v>
      </c>
    </row>
    <row r="145" customFormat="false" ht="13.5" hidden="false" customHeight="true" outlineLevel="0" collapsed="false">
      <c r="A145" s="49" t="s">
        <v>59</v>
      </c>
      <c r="B145" s="65" t="s">
        <v>200</v>
      </c>
      <c r="C145" s="65" t="s">
        <v>81</v>
      </c>
      <c r="D145" s="65" t="s">
        <v>254</v>
      </c>
      <c r="E145" s="50" t="n">
        <v>34597.4163688121</v>
      </c>
      <c r="F145" s="50" t="n">
        <v>4301.57257354121</v>
      </c>
      <c r="G145" s="51" t="n">
        <v>-30295.8437952709</v>
      </c>
      <c r="H145" s="52" t="n">
        <v>-0.875667809188814</v>
      </c>
      <c r="I145" s="53" t="s">
        <v>15</v>
      </c>
    </row>
    <row r="146" customFormat="false" ht="19.5" hidden="false" customHeight="true" outlineLevel="0" collapsed="false">
      <c r="A146" s="61" t="s">
        <v>68</v>
      </c>
      <c r="B146" s="61"/>
      <c r="C146" s="61"/>
      <c r="D146" s="61"/>
      <c r="E146" s="62" t="n">
        <f aca="false">SUM(E4:E145)</f>
        <v>1667306.46526342</v>
      </c>
      <c r="F146" s="62" t="n">
        <f aca="false">SUM(F4:F145)</f>
        <v>1046029.67412319</v>
      </c>
      <c r="G146" s="62" t="n">
        <f aca="false">SUM(G4:G145)</f>
        <v>-621276.791140223</v>
      </c>
      <c r="H146" s="61"/>
      <c r="I146" s="61"/>
    </row>
  </sheetData>
  <mergeCells count="3">
    <mergeCell ref="A1:I1"/>
    <mergeCell ref="A2:I2"/>
    <mergeCell ref="A146:D1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2026-04-07T17:09:48Z</dcterms:created>
  <dc:creator>openpyxl</dc:creator>
  <dc:description/>
  <dc:language>en-US</dc:language>
  <cp:lastModifiedBy/>
  <dcterms:modified xsi:type="dcterms:W3CDTF">2026-04-07T17:09:48Z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