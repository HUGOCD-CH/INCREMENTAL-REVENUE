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By Account" sheetId="2" state="visible" r:id="rId4"/>
    <sheet name="By Count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<sst xmlns="http://schemas.openxmlformats.org/spreadsheetml/2006/main" count="883" uniqueCount="332">
  <si>
    <t xml:space="preserve">AGING INVENTORY — INCREMENTAL CHANGE REPORT</t>
  </si>
  <si>
    <t xml:space="preserve">Comparison: 2026-03-24  →  2026-03-31   |   Source: Aging Inventory Analysis Reports</t>
  </si>
  <si>
    <t xml:space="preserve">KEY METRICS</t>
  </si>
  <si>
    <t xml:space="preserve">2026-03-24</t>
  </si>
  <si>
    <t xml:space="preserve">2026-03-31</t>
  </si>
  <si>
    <t xml:space="preserve">Change ($)</t>
  </si>
  <si>
    <t xml:space="preserve">Change (%)</t>
  </si>
  <si>
    <t xml:space="preserve">Total Aging Inventory ($)</t>
  </si>
  <si>
    <t xml:space="preserve">Total Accounts</t>
  </si>
  <si>
    <t xml:space="preserve">Total Countries</t>
  </si>
  <si>
    <t xml:space="preserve">Total Lines</t>
  </si>
  <si>
    <t xml:space="preserve">ACCOUNT STATUS SUMMARY</t>
  </si>
  <si>
    <t xml:space="preserve">Status</t>
  </si>
  <si>
    <t xml:space="preserve"># Accounts</t>
  </si>
  <si>
    <t xml:space="preserve">Increased</t>
  </si>
  <si>
    <t xml:space="preserve">Decreased</t>
  </si>
  <si>
    <t xml:space="preserve">New Account</t>
  </si>
  <si>
    <t xml:space="preserve">Removed</t>
  </si>
  <si>
    <t xml:space="preserve">No Change</t>
  </si>
  <si>
    <t xml:space="preserve">AGING INVENTORY — INCREMENTAL CHANGES BY ACCOUNT</t>
  </si>
  <si>
    <t xml:space="preserve">Comparison: 2026-03-24  →  2026-03-31   |   Total ($) = sum of all batch lines per account</t>
  </si>
  <si>
    <t xml:space="preserve">Country</t>
  </si>
  <si>
    <t xml:space="preserve">Account</t>
  </si>
  <si>
    <t xml:space="preserve">Kit Owner</t>
  </si>
  <si>
    <t xml:space="preserve">Sales Rep Manager</t>
  </si>
  <si>
    <t xml:space="preserve">Total $ 2026-03-24</t>
  </si>
  <si>
    <t xml:space="preserve">Total $ 2026-03-31</t>
  </si>
  <si>
    <t xml:space="preserve">% Change</t>
  </si>
  <si>
    <t xml:space="preserve">Austria</t>
  </si>
  <si>
    <t xml:space="preserve">LKH Rohrbach</t>
  </si>
  <si>
    <t xml:space="preserve">Siegrid Wanilian</t>
  </si>
  <si>
    <t xml:space="preserve">Helga Cornelia Dos Santos Carneiro</t>
  </si>
  <si>
    <t xml:space="preserve">Tierarztpraxis BW GmbH</t>
  </si>
  <si>
    <t xml:space="preserve">Mag Sabine Freysinger</t>
  </si>
  <si>
    <t xml:space="preserve">Belgium</t>
  </si>
  <si>
    <t xml:space="preserve">AZ Sint-Jan Brugge AV</t>
  </si>
  <si>
    <t xml:space="preserve">Ann Vande Velde</t>
  </si>
  <si>
    <t xml:space="preserve">Yeter Simsek</t>
  </si>
  <si>
    <t xml:space="preserve">Clinique St Jean-Site Botanique</t>
  </si>
  <si>
    <t xml:space="preserve">Albert Poisson</t>
  </si>
  <si>
    <t xml:space="preserve">Daniel Warnier</t>
  </si>
  <si>
    <t xml:space="preserve">Clinique Notre Dame De Grace</t>
  </si>
  <si>
    <t xml:space="preserve">Urszula Pawelec-Zuchowska</t>
  </si>
  <si>
    <t xml:space="preserve">Aleksandra Szczepaniec</t>
  </si>
  <si>
    <t xml:space="preserve">CH EPICURA ASBL - Site de Hornu</t>
  </si>
  <si>
    <t xml:space="preserve">Cédric Guillaume</t>
  </si>
  <si>
    <t xml:space="preserve">CHU De Liège - Site du Sart Tilman</t>
  </si>
  <si>
    <t xml:space="preserve">Stanislas Laval</t>
  </si>
  <si>
    <t xml:space="preserve">HUmani - site André Vésale</t>
  </si>
  <si>
    <t xml:space="preserve">(blank)</t>
  </si>
  <si>
    <t xml:space="preserve">CH Regional de la Citadelle</t>
  </si>
  <si>
    <t xml:space="preserve">CEM</t>
  </si>
  <si>
    <t xml:space="preserve">Denmark</t>
  </si>
  <si>
    <t xml:space="preserve">Odense Universitetshospital</t>
  </si>
  <si>
    <t xml:space="preserve">Stig Caldron</t>
  </si>
  <si>
    <t xml:space="preserve">Jesper Hansen</t>
  </si>
  <si>
    <t xml:space="preserve">Aarhus Universitetshospital</t>
  </si>
  <si>
    <t xml:space="preserve">Jens Ravn</t>
  </si>
  <si>
    <t xml:space="preserve">#Århus Universitetshospital, Skejby</t>
  </si>
  <si>
    <t xml:space="preserve">Region Sjaelland, Sjællands</t>
  </si>
  <si>
    <t xml:space="preserve">Dorte Duus</t>
  </si>
  <si>
    <t xml:space="preserve">Privathospitalet Mølholm</t>
  </si>
  <si>
    <t xml:space="preserve">Sydvestjysk Sygehus Esbjerg</t>
  </si>
  <si>
    <t xml:space="preserve">Regionshosp. Viborg, Skive, Kjeller</t>
  </si>
  <si>
    <t xml:space="preserve">Lise Lotte Gadegaard</t>
  </si>
  <si>
    <t xml:space="preserve">Aleris-Hamlet Aarhus</t>
  </si>
  <si>
    <t xml:space="preserve">Finland</t>
  </si>
  <si>
    <t xml:space="preserve">Pohjois-Savon hyvinvointialue</t>
  </si>
  <si>
    <t xml:space="preserve">Henry Turkulainen</t>
  </si>
  <si>
    <t xml:space="preserve">Sari Tuominen</t>
  </si>
  <si>
    <t xml:space="preserve">HUS-Logistiikka</t>
  </si>
  <si>
    <t xml:space="preserve">Mari Luojumäki</t>
  </si>
  <si>
    <t xml:space="preserve">Keski-Pohjanmaan hyvinvointialue</t>
  </si>
  <si>
    <t xml:space="preserve">Jukka Luukinen</t>
  </si>
  <si>
    <t xml:space="preserve">France</t>
  </si>
  <si>
    <t xml:space="preserve">CHRU Lille</t>
  </si>
  <si>
    <t xml:space="preserve">Vincent Messiac</t>
  </si>
  <si>
    <t xml:space="preserve">Jeremy De Backer</t>
  </si>
  <si>
    <t xml:space="preserve">CHU Bordeaux</t>
  </si>
  <si>
    <t xml:space="preserve">Germany</t>
  </si>
  <si>
    <t xml:space="preserve">ALB FILS KLINIKUM GmbH</t>
  </si>
  <si>
    <t xml:space="preserve">Jens Quaiser</t>
  </si>
  <si>
    <t xml:space="preserve">Samuel Tum</t>
  </si>
  <si>
    <t xml:space="preserve">Krankenhaus St. Elisabeth gGmbH</t>
  </si>
  <si>
    <t xml:space="preserve">Frank Heijdra</t>
  </si>
  <si>
    <t xml:space="preserve">Hugo Calefi Dias</t>
  </si>
  <si>
    <t xml:space="preserve">Klinikum Oberberg GmbH</t>
  </si>
  <si>
    <t xml:space="preserve">Martin Kriska</t>
  </si>
  <si>
    <t xml:space="preserve">Barbara Hermann</t>
  </si>
  <si>
    <t xml:space="preserve">GPR Klinikum Rüsselsheim gGmbH</t>
  </si>
  <si>
    <t xml:space="preserve">Britta Stanek</t>
  </si>
  <si>
    <t xml:space="preserve">Ludger Gerdes</t>
  </si>
  <si>
    <t xml:space="preserve">Altmark-Klinikum gGmbH</t>
  </si>
  <si>
    <t xml:space="preserve">Grit Rudolf</t>
  </si>
  <si>
    <t xml:space="preserve">Lars Huebner</t>
  </si>
  <si>
    <t xml:space="preserve">Agaplesion Diakonieklinikum Hamburg</t>
  </si>
  <si>
    <t xml:space="preserve">Dejan Bogdanovic</t>
  </si>
  <si>
    <t xml:space="preserve">Esra Karakas</t>
  </si>
  <si>
    <t xml:space="preserve">DGD Krankenhaus Sachsenhausen gGmbH</t>
  </si>
  <si>
    <t xml:space="preserve">Janine Botsch</t>
  </si>
  <si>
    <t xml:space="preserve">Maurice Lenssen</t>
  </si>
  <si>
    <t xml:space="preserve">Klinikum Lippe-Detmold</t>
  </si>
  <si>
    <t xml:space="preserve">Peer Schaetzler</t>
  </si>
  <si>
    <t xml:space="preserve">Ozgur Yurduozler</t>
  </si>
  <si>
    <t xml:space="preserve">Regio Klinikum Pinneberg</t>
  </si>
  <si>
    <t xml:space="preserve">Nancy Sadighi</t>
  </si>
  <si>
    <t xml:space="preserve">Ketteler-Krankenhaus</t>
  </si>
  <si>
    <t xml:space="preserve">Christoph Stinkens</t>
  </si>
  <si>
    <t xml:space="preserve">Marienhospital Aachen GmbH</t>
  </si>
  <si>
    <t xml:space="preserve">Sana-Klinikum Remscheid GmbH</t>
  </si>
  <si>
    <t xml:space="preserve">Ireland</t>
  </si>
  <si>
    <t xml:space="preserve">St John's Hospital - Limerick</t>
  </si>
  <si>
    <t xml:space="preserve">Cillian Duff</t>
  </si>
  <si>
    <t xml:space="preserve">Naomi Clear</t>
  </si>
  <si>
    <t xml:space="preserve">St Vincents University Hospital</t>
  </si>
  <si>
    <t xml:space="preserve">Clare Molloy</t>
  </si>
  <si>
    <t xml:space="preserve">Olivia Wit</t>
  </si>
  <si>
    <t xml:space="preserve">Israel</t>
  </si>
  <si>
    <t xml:space="preserve">Italy</t>
  </si>
  <si>
    <t xml:space="preserve">AOU UNIV. LUIGI VANVITELLI</t>
  </si>
  <si>
    <t xml:space="preserve">Eugenia Maria Bruno</t>
  </si>
  <si>
    <t xml:space="preserve">Lucio Carbone</t>
  </si>
  <si>
    <t xml:space="preserve">ASST Niguarda</t>
  </si>
  <si>
    <t xml:space="preserve">Arianna Silvani</t>
  </si>
  <si>
    <t xml:space="preserve">Luca Isolini</t>
  </si>
  <si>
    <t xml:space="preserve">Casa di Cura Abano Terme</t>
  </si>
  <si>
    <t xml:space="preserve">Distretto Di Reggio Emilia</t>
  </si>
  <si>
    <t xml:space="preserve">Mariapaola Oliviero</t>
  </si>
  <si>
    <t xml:space="preserve">Policlinico San Donato S.P.A.</t>
  </si>
  <si>
    <t xml:space="preserve">Humanitas Mirasole Spa</t>
  </si>
  <si>
    <t xml:space="preserve">Policlinico San Marco Srl</t>
  </si>
  <si>
    <t xml:space="preserve">Paolo Rebuzzini</t>
  </si>
  <si>
    <t xml:space="preserve">Salvatore Sorrenti</t>
  </si>
  <si>
    <t xml:space="preserve">Az. Osp. Univ. di Sassari</t>
  </si>
  <si>
    <t xml:space="preserve">Alberto Sebastiano Stanca</t>
  </si>
  <si>
    <t xml:space="preserve">CASA DI CURA SAN PIO X SRL</t>
  </si>
  <si>
    <t xml:space="preserve">CdC Multimedica - Sesto S.Giovanni</t>
  </si>
  <si>
    <t xml:space="preserve">Marianna Biondo</t>
  </si>
  <si>
    <t xml:space="preserve">Kronosan S.R.L.</t>
  </si>
  <si>
    <t xml:space="preserve">Latvia</t>
  </si>
  <si>
    <t xml:space="preserve">AB Technology Corporation</t>
  </si>
  <si>
    <t xml:space="preserve">Margus Laanesaar</t>
  </si>
  <si>
    <t xml:space="preserve">Julija Gara</t>
  </si>
  <si>
    <t xml:space="preserve">Aiwa Clinic, SIA</t>
  </si>
  <si>
    <t xml:space="preserve">Tuberkul. un plaušu slim. centrs</t>
  </si>
  <si>
    <t xml:space="preserve">Lithuania</t>
  </si>
  <si>
    <t xml:space="preserve">LSMUL Kauno Klinikos</t>
  </si>
  <si>
    <t xml:space="preserve">Netherlands</t>
  </si>
  <si>
    <t xml:space="preserve">Catharina Ziekenhuis</t>
  </si>
  <si>
    <t xml:space="preserve">Ilse Albers</t>
  </si>
  <si>
    <t xml:space="preserve">Sander Weetink</t>
  </si>
  <si>
    <t xml:space="preserve">Spaarne Gasthuis</t>
  </si>
  <si>
    <t xml:space="preserve">Bas Besamusca</t>
  </si>
  <si>
    <t xml:space="preserve">Fredrik Persson</t>
  </si>
  <si>
    <t xml:space="preserve">Weight Works</t>
  </si>
  <si>
    <t xml:space="preserve">Jeroen Reijers</t>
  </si>
  <si>
    <t xml:space="preserve">Jan Osch</t>
  </si>
  <si>
    <t xml:space="preserve">Ommelander Ziekenhuis Groningen</t>
  </si>
  <si>
    <t xml:space="preserve">Ingrid Timmer-Verbeek</t>
  </si>
  <si>
    <t xml:space="preserve">Rivierenland Ziekenhuis</t>
  </si>
  <si>
    <t xml:space="preserve">Ingrid Westerik - Dakhorst</t>
  </si>
  <si>
    <t xml:space="preserve">St. Antonius Ziekenhuis Nieuwegein</t>
  </si>
  <si>
    <t xml:space="preserve">Sebastiaan Rijthoven</t>
  </si>
  <si>
    <t xml:space="preserve">Haaglanden M.C. (inzake NOK)</t>
  </si>
  <si>
    <t xml:space="preserve">Gaëtan Lakwijk</t>
  </si>
  <si>
    <t xml:space="preserve">Norway</t>
  </si>
  <si>
    <t xml:space="preserve">Voss Sykehus</t>
  </si>
  <si>
    <t xml:space="preserve">Robert Hernes</t>
  </si>
  <si>
    <t xml:space="preserve">Håkon Wennberg</t>
  </si>
  <si>
    <t xml:space="preserve">Poland</t>
  </si>
  <si>
    <t xml:space="preserve">Wojskowy Instytut Medycyny</t>
  </si>
  <si>
    <t xml:space="preserve">Maciej Engman</t>
  </si>
  <si>
    <t xml:space="preserve">Marcin Zielinski</t>
  </si>
  <si>
    <t xml:space="preserve">Wojewódzki Szpital Zespolony</t>
  </si>
  <si>
    <t xml:space="preserve">Lukasz Wlizlo</t>
  </si>
  <si>
    <t xml:space="preserve">Marek Ostrowski</t>
  </si>
  <si>
    <t xml:space="preserve">Szpital im. Św. Jadwigi Śląskiej</t>
  </si>
  <si>
    <t xml:space="preserve">Maciej Cwynar</t>
  </si>
  <si>
    <t xml:space="preserve">Miejski Szpital Zespolony</t>
  </si>
  <si>
    <t xml:space="preserve">Michal Dziubak</t>
  </si>
  <si>
    <t xml:space="preserve">Rafal Wisniewski</t>
  </si>
  <si>
    <t xml:space="preserve">Uniwersytecki Szpital Kliniczny</t>
  </si>
  <si>
    <t xml:space="preserve">Anna Durmowicz-Dudzik</t>
  </si>
  <si>
    <t xml:space="preserve">Zagłębiowskie Centrum Onkologii</t>
  </si>
  <si>
    <t xml:space="preserve">Regionalny Szpital Specjalistyczny</t>
  </si>
  <si>
    <t xml:space="preserve">Wojewódzki Szpital Specjalistyczny</t>
  </si>
  <si>
    <t xml:space="preserve">Pro Medica w Ełku Sp. z o.o.</t>
  </si>
  <si>
    <t xml:space="preserve">Michal Zebrowski</t>
  </si>
  <si>
    <t xml:space="preserve">Mazowiecki Szpital Specjalistyczny</t>
  </si>
  <si>
    <t xml:space="preserve">Bartosz Waclawski</t>
  </si>
  <si>
    <t xml:space="preserve">Nowy Szpital w Kostrzynie</t>
  </si>
  <si>
    <t xml:space="preserve">SPSK im. prof. W. Orłowskiego</t>
  </si>
  <si>
    <t xml:space="preserve">SPZOZ Centralny Szpital Kliniczny</t>
  </si>
  <si>
    <t xml:space="preserve">Elzbieta Pelc-Jaczewska</t>
  </si>
  <si>
    <t xml:space="preserve">SPZOZ w Łęcznej</t>
  </si>
  <si>
    <t xml:space="preserve">Samodzielny Publiczny Wojewódzki</t>
  </si>
  <si>
    <t xml:space="preserve">Kamila Szkolnicka</t>
  </si>
  <si>
    <t xml:space="preserve">Specjalistyczne Centrum Medyczne</t>
  </si>
  <si>
    <t xml:space="preserve">Szpital Specjalistyczny</t>
  </si>
  <si>
    <t xml:space="preserve">Marek Aleksander Guzowski</t>
  </si>
  <si>
    <t xml:space="preserve">Adam Kozuch</t>
  </si>
  <si>
    <t xml:space="preserve">Szpital Uniwersytecki Nr 2</t>
  </si>
  <si>
    <t xml:space="preserve">Uniwersytecki Szpital</t>
  </si>
  <si>
    <t xml:space="preserve">Celina Lorenc-Zareba</t>
  </si>
  <si>
    <t xml:space="preserve">Oskar Drabik</t>
  </si>
  <si>
    <t xml:space="preserve">Wielospecjalistyczny Szpital</t>
  </si>
  <si>
    <t xml:space="preserve">Wielospecjalistyczny Szpital SPZOZ</t>
  </si>
  <si>
    <t xml:space="preserve">Zbigniew Mazan Klinika</t>
  </si>
  <si>
    <t xml:space="preserve">Samodzielny Publiczny Zakład</t>
  </si>
  <si>
    <t xml:space="preserve">MEDICUS Sp. z o. o.</t>
  </si>
  <si>
    <t xml:space="preserve">Uniwersytet Medyczny w Białymstoku</t>
  </si>
  <si>
    <t xml:space="preserve">Tomasz Onchimowicz</t>
  </si>
  <si>
    <t xml:space="preserve">Dolnośląskie Centrum Onkologii,</t>
  </si>
  <si>
    <t xml:space="preserve">Szpital Uniwersytecki w Krakowie</t>
  </si>
  <si>
    <t xml:space="preserve">Wojskowy Instytut Medyczny</t>
  </si>
  <si>
    <t xml:space="preserve">Portugal</t>
  </si>
  <si>
    <t xml:space="preserve">ULS Matosinhos EPE</t>
  </si>
  <si>
    <t xml:space="preserve">Andre Oliveira</t>
  </si>
  <si>
    <t xml:space="preserve">Alexandre Rocha</t>
  </si>
  <si>
    <t xml:space="preserve">@HOSPITAL DA PRELADA</t>
  </si>
  <si>
    <t xml:space="preserve">Filipe Oliveira</t>
  </si>
  <si>
    <t xml:space="preserve">S. S. REGIÃO AUTÓNOMA MADEIRA, EPE</t>
  </si>
  <si>
    <t xml:space="preserve">|ULS Entre Douro e Vouga, EPE</t>
  </si>
  <si>
    <t xml:space="preserve">Slovenia</t>
  </si>
  <si>
    <t xml:space="preserve">South Africa</t>
  </si>
  <si>
    <t xml:space="preserve">Netcare Sunninghill</t>
  </si>
  <si>
    <t xml:space="preserve">Lungile Mvuyane</t>
  </si>
  <si>
    <t xml:space="preserve">Jane Franklin</t>
  </si>
  <si>
    <t xml:space="preserve">Mediclinic Hermanus</t>
  </si>
  <si>
    <t xml:space="preserve">Mediclinic Morningside</t>
  </si>
  <si>
    <t xml:space="preserve">Mediclinic Durbanville</t>
  </si>
  <si>
    <t xml:space="preserve">Life Peglerae</t>
  </si>
  <si>
    <t xml:space="preserve">Spain</t>
  </si>
  <si>
    <t xml:space="preserve">SAS CPC de Malaga</t>
  </si>
  <si>
    <t xml:space="preserve">Francisco Abellan</t>
  </si>
  <si>
    <t xml:space="preserve">Joaquin Roman Gonzalez</t>
  </si>
  <si>
    <t xml:space="preserve">HOSPITAL Nª Sª DE VALME</t>
  </si>
  <si>
    <t xml:space="preserve">Daniel Caparros</t>
  </si>
  <si>
    <t xml:space="preserve">Jose Soto</t>
  </si>
  <si>
    <t xml:space="preserve">HOSPITAL INMACULADA GRUPO HLA S.L.</t>
  </si>
  <si>
    <t xml:space="preserve">Daniel Orozco</t>
  </si>
  <si>
    <t xml:space="preserve">Marisa Vizarraga Catalan</t>
  </si>
  <si>
    <t xml:space="preserve">FUNDACIÓN JIMÉNEZ DÍAZ U.T.E.</t>
  </si>
  <si>
    <t xml:space="preserve">Vanessa Oltra</t>
  </si>
  <si>
    <t xml:space="preserve">Maria Soledad Rio</t>
  </si>
  <si>
    <t xml:space="preserve">@HOSPITAL JUAN RAMON JIMENEZ</t>
  </si>
  <si>
    <t xml:space="preserve">Gema Luque</t>
  </si>
  <si>
    <t xml:space="preserve">HOSPITAL DE LA MORALEJA</t>
  </si>
  <si>
    <t xml:space="preserve">Rafael Asensio Alonso</t>
  </si>
  <si>
    <t xml:space="preserve">HOSPITAL RAMON Y CAJAL</t>
  </si>
  <si>
    <t xml:space="preserve">Cristina Herrera</t>
  </si>
  <si>
    <t xml:space="preserve">VITHAS LAS PALMAS</t>
  </si>
  <si>
    <t xml:space="preserve">Navin Mohanani</t>
  </si>
  <si>
    <t xml:space="preserve">HOSPITAL U. Ntra. Sª DE CANDELARIA</t>
  </si>
  <si>
    <t xml:space="preserve">SUMINISTROS HOSPITALARIOS, S.A.</t>
  </si>
  <si>
    <t xml:space="preserve">Irene Garcia</t>
  </si>
  <si>
    <t xml:space="preserve">Elena Urkizu Sáez</t>
  </si>
  <si>
    <t xml:space="preserve">FUNDACIÓ ASSISTENCIAL</t>
  </si>
  <si>
    <t xml:space="preserve">Marta Lopez</t>
  </si>
  <si>
    <t xml:space="preserve">@COMP.HOSP.UNIVERSITARIO DE BADAJOZ</t>
  </si>
  <si>
    <t xml:space="preserve">Javier Pijierro Sa</t>
  </si>
  <si>
    <t xml:space="preserve">CHUB</t>
  </si>
  <si>
    <t xml:space="preserve">CLINICA VISTAHERMOSA</t>
  </si>
  <si>
    <t xml:space="preserve">Sara Peralta</t>
  </si>
  <si>
    <t xml:space="preserve">Aranzazu Bueno</t>
  </si>
  <si>
    <t xml:space="preserve">COMPLEJO HOSPITALARIO DE CÁCERES</t>
  </si>
  <si>
    <t xml:space="preserve">COMPLEJO HOSPITALARIO SAN PEDRO</t>
  </si>
  <si>
    <t xml:space="preserve">Javier El Busto Ganuza</t>
  </si>
  <si>
    <t xml:space="preserve">Benigno Rivera Fernandez</t>
  </si>
  <si>
    <t xml:space="preserve">ESPECIALIZADA Y PRIMARIA L'HORTA</t>
  </si>
  <si>
    <t xml:space="preserve">GERENCIA AREA SALUD MERIDA</t>
  </si>
  <si>
    <t xml:space="preserve">GERENCIA DE AREA DE SALUD</t>
  </si>
  <si>
    <t xml:space="preserve">HOSPITAL DEL MAR</t>
  </si>
  <si>
    <t xml:space="preserve">Ivan Garcia Ridao</t>
  </si>
  <si>
    <t xml:space="preserve">Bernabela Carmen Poveda Callejas</t>
  </si>
  <si>
    <t xml:space="preserve">HOSPITAL FRANCESC DE BORJA</t>
  </si>
  <si>
    <t xml:space="preserve">Maria Victoria Valero Rubio</t>
  </si>
  <si>
    <t xml:space="preserve">Manuel Arnau Sabates</t>
  </si>
  <si>
    <t xml:space="preserve">HOSPITAL S.V.S. MARINA BAIXA</t>
  </si>
  <si>
    <t xml:space="preserve">HOSPITAL U. ARABA-TXAGORRITXU</t>
  </si>
  <si>
    <t xml:space="preserve">Xavier Garriga</t>
  </si>
  <si>
    <t xml:space="preserve">HOSPITAL U. SON ESPASES</t>
  </si>
  <si>
    <t xml:space="preserve">Jose Manuel Comas</t>
  </si>
  <si>
    <t xml:space="preserve">@HOSPITAL MIGUEL SERVET</t>
  </si>
  <si>
    <t xml:space="preserve">Hospital Universitari Sagrat Cor</t>
  </si>
  <si>
    <t xml:space="preserve">P.P.L.I. DE CORDOBA</t>
  </si>
  <si>
    <t xml:space="preserve">Manuel Garcia Montanez</t>
  </si>
  <si>
    <t xml:space="preserve">GERENCIA AREA DE SALUD DE PLASENCIA</t>
  </si>
  <si>
    <t xml:space="preserve">HOSPITAL CLÍNIC DE BARCELONA</t>
  </si>
  <si>
    <t xml:space="preserve">@EOXI - A CORUÑA</t>
  </si>
  <si>
    <t xml:space="preserve">Maria Soledad Alasia</t>
  </si>
  <si>
    <t xml:space="preserve">@HOSPITAL DEL TOMILLAR</t>
  </si>
  <si>
    <t xml:space="preserve">CONSORCIO HOSPITAL GENERAL U.</t>
  </si>
  <si>
    <t xml:space="preserve">Alvaro Ferrandis</t>
  </si>
  <si>
    <t xml:space="preserve">Sweden</t>
  </si>
  <si>
    <t xml:space="preserve">Värnamo Sjukhus</t>
  </si>
  <si>
    <t xml:space="preserve">Petra Aneborn</t>
  </si>
  <si>
    <t xml:space="preserve">Christian Andre</t>
  </si>
  <si>
    <t xml:space="preserve">Örnsköldsviks Sjukhus</t>
  </si>
  <si>
    <t xml:space="preserve">Johan Ström</t>
  </si>
  <si>
    <t xml:space="preserve">Södertälje Sjukhus</t>
  </si>
  <si>
    <t xml:space="preserve">Cathrine S. Sternberg</t>
  </si>
  <si>
    <t xml:space="preserve">Aleris Obesitas Plus Malmö</t>
  </si>
  <si>
    <t xml:space="preserve">Maria Senyk</t>
  </si>
  <si>
    <t xml:space="preserve">Ulrika Beischer</t>
  </si>
  <si>
    <t xml:space="preserve">Capio Kirurgkliniken Stockholm AB</t>
  </si>
  <si>
    <t xml:space="preserve">Östersunds Sjukhus</t>
  </si>
  <si>
    <t xml:space="preserve">GB Obesitas Skåne AB</t>
  </si>
  <si>
    <t xml:space="preserve">Daniel Flood</t>
  </si>
  <si>
    <t xml:space="preserve">Switzerland</t>
  </si>
  <si>
    <t xml:space="preserve">Hirslanden Klinik Linde AG</t>
  </si>
  <si>
    <t xml:space="preserve">Honore Matter</t>
  </si>
  <si>
    <t xml:space="preserve">Ann Diepers</t>
  </si>
  <si>
    <t xml:space="preserve">Spital Limmattal</t>
  </si>
  <si>
    <t xml:space="preserve">Mario Grieco</t>
  </si>
  <si>
    <t xml:space="preserve">Rolf Werner</t>
  </si>
  <si>
    <t xml:space="preserve">HFR Fribourg</t>
  </si>
  <si>
    <t xml:space="preserve">Julie Berbey</t>
  </si>
  <si>
    <t xml:space="preserve">UAE</t>
  </si>
  <si>
    <t xml:space="preserve">UK</t>
  </si>
  <si>
    <t xml:space="preserve">Transform - Pines Hospital</t>
  </si>
  <si>
    <t xml:space="preserve">Parniyan Naibkhill</t>
  </si>
  <si>
    <t xml:space="preserve">John Verovkins</t>
  </si>
  <si>
    <t xml:space="preserve">Northern General Hospital</t>
  </si>
  <si>
    <t xml:space="preserve">David Watts</t>
  </si>
  <si>
    <t xml:space="preserve">Circle The Alexandra Hospital (ALX</t>
  </si>
  <si>
    <t xml:space="preserve">Sarah Russell</t>
  </si>
  <si>
    <t xml:space="preserve">Nina Stuart</t>
  </si>
  <si>
    <t xml:space="preserve">USCEM</t>
  </si>
  <si>
    <t xml:space="preserve">GRAND TOTAL</t>
  </si>
  <si>
    <t xml:space="preserve">AGING INVENTORY — INCREMENTAL CHANGES BY COUNTRY</t>
  </si>
  <si>
    <t xml:space="preserve">Comparison: 2026-03-24  →  2026-03-31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</si>
</sst>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0"/>
    <numFmt numFmtId="166" formatCode="\$#,##0.00;&quot;($&quot;#,##0.00\)"/>
    <numFmt numFmtId="167" formatCode="0.0%;\(0.0%\)"/>
    <numFmt numFmtId="168" formatCode="\$#,##0.00;&quot;($&quot;#,##0.00\);\-"/>
    <numFmt numFmtId="169" formatCode="0.0%;\(0.0%\);\-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sz val="10"/>
      <color rgb="FF9C0006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sz val="10"/>
      <color rgb="FF375623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1F3864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375623"/>
      <name val="Arial"/>
      <family val="0"/>
      <charset val="1"/>
    </font>
    <font>
      <sz val="9"/>
      <color rgb="FF9C0006"/>
      <name val="Arial"/>
      <family val="0"/>
      <charset val="1"/>
    </font>
    <font>
      <b val="true"/>
      <sz val="9"/>
      <color rgb="FF1F3864"/>
      <name val="Arial"/>
      <family val="0"/>
      <charset val="1"/>
    </font>
    <font>
      <sz val="9"/>
      <color rgb="FF375623"/>
      <name val="Arial"/>
      <family val="0"/>
      <charset val="1"/>
    </font>
    <font>
      <b val="true"/>
      <sz val="9"/>
      <color rgb="FF9C0006"/>
      <name val="Arial"/>
      <family val="0"/>
      <charset val="1"/>
    </font>
    <font>
      <b val="true"/>
      <sz val="9"/>
      <color rgb="FF595959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EBF3FB"/>
        <bgColor rgb="FFF2F2F2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F5F5F5"/>
      </patternFill>
    </fill>
    <fill>
      <patternFill patternType="solid">
        <fgColor rgb="FFE8F5E9"/>
        <bgColor rgb="FFEBF3FB"/>
      </patternFill>
    </fill>
    <fill>
      <patternFill patternType="solid">
        <fgColor rgb="FFFFF0EE"/>
        <bgColor rgb="FFF5F5F5"/>
      </patternFill>
    </fill>
    <fill>
      <patternFill patternType="solid">
        <fgColor rgb="FFDDEEFF"/>
        <bgColor rgb="FFEBF3FB"/>
      </patternFill>
    </fill>
    <fill>
      <patternFill patternType="solid">
        <fgColor rgb="FFF5F5F5"/>
        <bgColor rgb="FFF2F2F2"/>
      </patternFill>
    </fill>
    <fill>
      <patternFill patternType="solid">
        <fgColor rgb="FFFFFFFF"/>
        <bgColor rgb="FFF5F5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21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2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3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21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3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2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5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21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6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3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2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6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3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5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3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2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1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1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0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0EE"/>
      <rgbColor rgb="FFDDEEFF"/>
      <rgbColor rgb="FF660066"/>
      <rgbColor rgb="FFFF8080"/>
      <rgbColor rgb="FF0066CC"/>
      <rgbColor rgb="FFF2F2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EBF3FB"/>
      <rgbColor rgb="FFF5F5F5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4" min="2" style="0" width="18"/>
    <col collapsed="false" customWidth="true" hidden="false" outlineLevel="0" max="5" min="5" style="0" width="14"/>
    <col collapsed="false" customWidth="true" hidden="false" outlineLevel="0" max="7" min="6" style="0" width="5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7.5" hidden="false" customHeight="true" outlineLevel="0" collapsed="false"/>
    <row r="4" customFormat="false" ht="19.5" hidden="false" customHeight="true" outlineLevel="0" collapsed="false">
      <c r="A4" s="3" t="s">
        <v>2</v>
      </c>
      <c r="B4" s="3"/>
      <c r="C4" s="3"/>
      <c r="D4" s="3"/>
      <c r="E4" s="3"/>
      <c r="F4" s="3"/>
      <c r="G4" s="3"/>
    </row>
    <row r="5" customFormat="false" ht="15.75" hidden="false" customHeight="true" outlineLevel="0" collapsed="false">
      <c r="A5" s="4"/>
      <c r="B5" s="4" t="s">
        <v>3</v>
      </c>
      <c r="C5" s="4" t="s">
        <v>4</v>
      </c>
      <c r="D5" s="4" t="s">
        <v>5</v>
      </c>
      <c r="E5" s="4" t="s">
        <v>6</v>
      </c>
      <c r="F5" s="4"/>
      <c r="G5" s="4"/>
    </row>
    <row r="6" customFormat="false" ht="16.5" hidden="false" customHeight="true" outlineLevel="0" collapsed="false">
      <c r="A6" s="5" t="s">
        <v>7</v>
      </c>
      <c r="B6" s="6" t="n">
        <v>1724304.77682428</v>
      </c>
      <c r="C6" s="6" t="n">
        <v>1667306.46526342</v>
      </c>
      <c r="D6" s="7" t="n">
        <v>-56998.3115608606</v>
      </c>
      <c r="E6" s="8" t="n">
        <v>-0.0330558218749685</v>
      </c>
      <c r="F6" s="9"/>
      <c r="G6" s="9"/>
    </row>
    <row r="7" customFormat="false" ht="16.5" hidden="false" customHeight="true" outlineLevel="0" collapsed="false">
      <c r="A7" s="5" t="s">
        <v>8</v>
      </c>
      <c r="B7" s="10" t="n">
        <v>114</v>
      </c>
      <c r="C7" s="10" t="n">
        <v>127</v>
      </c>
      <c r="D7" s="11" t="n">
        <v>13</v>
      </c>
      <c r="E7" s="9"/>
      <c r="F7" s="9"/>
      <c r="G7" s="9"/>
    </row>
    <row r="8" customFormat="false" ht="16.5" hidden="false" customHeight="true" outlineLevel="0" collapsed="false">
      <c r="A8" s="5" t="s">
        <v>9</v>
      </c>
      <c r="B8" s="10" t="n">
        <v>22</v>
      </c>
      <c r="C8" s="10" t="n">
        <v>24</v>
      </c>
      <c r="D8" s="11" t="n">
        <v>2</v>
      </c>
      <c r="E8" s="9"/>
      <c r="F8" s="9"/>
      <c r="G8" s="9"/>
    </row>
    <row r="9" customFormat="false" ht="16.5" hidden="false" customHeight="true" outlineLevel="0" collapsed="false">
      <c r="A9" s="5" t="s">
        <v>10</v>
      </c>
      <c r="B9" s="10" t="n">
        <v>519</v>
      </c>
      <c r="C9" s="10" t="n">
        <v>518</v>
      </c>
      <c r="D9" s="12" t="n">
        <v>-1</v>
      </c>
      <c r="E9" s="9"/>
      <c r="F9" s="9"/>
      <c r="G9" s="9"/>
    </row>
    <row r="11" customFormat="false" ht="19.5" hidden="false" customHeight="true" outlineLevel="0" collapsed="false">
      <c r="A11" s="3" t="s">
        <v>11</v>
      </c>
      <c r="B11" s="3"/>
      <c r="C11" s="3"/>
      <c r="D11" s="3"/>
      <c r="E11" s="3"/>
      <c r="F11" s="3"/>
      <c r="G11" s="3"/>
    </row>
    <row r="12" customFormat="false" ht="15.75" hidden="false" customHeight="true" outlineLevel="0" collapsed="false">
      <c r="A12" s="4" t="s">
        <v>12</v>
      </c>
      <c r="B12" s="4" t="s">
        <v>13</v>
      </c>
      <c r="C12" s="4"/>
      <c r="D12" s="4"/>
      <c r="E12" s="4"/>
      <c r="F12" s="4"/>
      <c r="G12" s="4"/>
    </row>
    <row r="13" customFormat="false" ht="15.75" hidden="false" customHeight="true" outlineLevel="0" collapsed="false">
      <c r="A13" s="13" t="s">
        <v>14</v>
      </c>
      <c r="B13" s="14" t="n">
        <v>22</v>
      </c>
      <c r="C13" s="15"/>
      <c r="D13" s="15"/>
      <c r="E13" s="15"/>
      <c r="F13" s="15"/>
      <c r="G13" s="15"/>
    </row>
    <row r="14" customFormat="false" ht="15.75" hidden="false" customHeight="true" outlineLevel="0" collapsed="false">
      <c r="A14" s="16" t="s">
        <v>15</v>
      </c>
      <c r="B14" s="17" t="n">
        <v>22</v>
      </c>
      <c r="C14" s="18"/>
      <c r="D14" s="18"/>
      <c r="E14" s="18"/>
      <c r="F14" s="18"/>
      <c r="G14" s="18"/>
    </row>
    <row r="15" customFormat="false" ht="15.75" hidden="false" customHeight="true" outlineLevel="0" collapsed="false">
      <c r="A15" s="19" t="s">
        <v>16</v>
      </c>
      <c r="B15" s="20" t="n">
        <v>33</v>
      </c>
      <c r="C15" s="21"/>
      <c r="D15" s="21"/>
      <c r="E15" s="21"/>
      <c r="F15" s="21"/>
      <c r="G15" s="21"/>
    </row>
    <row r="16" customFormat="false" ht="15.75" hidden="false" customHeight="true" outlineLevel="0" collapsed="false">
      <c r="A16" s="22" t="s">
        <v>17</v>
      </c>
      <c r="B16" s="23" t="n">
        <v>16</v>
      </c>
      <c r="C16" s="24"/>
      <c r="D16" s="24"/>
      <c r="E16" s="24"/>
      <c r="F16" s="24"/>
      <c r="G16" s="24"/>
    </row>
    <row r="17" customFormat="false" ht="15.75" hidden="false" customHeight="true" outlineLevel="0" collapsed="false">
      <c r="A17" s="25" t="s">
        <v>18</v>
      </c>
      <c r="B17" s="26" t="n">
        <v>66</v>
      </c>
      <c r="C17" s="27"/>
      <c r="D17" s="27"/>
      <c r="E17" s="27"/>
      <c r="F17" s="27"/>
      <c r="G17" s="27"/>
    </row>
  </sheetData>
  <mergeCells count="4">
    <mergeCell ref="A1:G1"/>
    <mergeCell ref="A2:G2"/>
    <mergeCell ref="A4:G4"/>
    <mergeCell ref="A11:G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2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6" min="5" style="0" width="20"/>
    <col collapsed="false" customWidth="true" hidden="false" outlineLevel="0" max="7" min="7" style="0" width="18"/>
    <col collapsed="false" customWidth="true" hidden="false" outlineLevel="0" max="8" min="8" style="0" width="12"/>
    <col collapsed="false" customWidth="true" hidden="false" outlineLevel="0" max="9" min="9" style="0" width="14"/>
  </cols>
  <sheetData>
    <row r="1" customFormat="false" ht="25.5" hidden="false" customHeight="true" outlineLevel="0" collapsed="false">
      <c r="A1" s="28" t="s">
        <v>19</v>
      </c>
      <c r="B1" s="28"/>
      <c r="C1" s="28"/>
      <c r="D1" s="28"/>
      <c r="E1" s="28"/>
      <c r="F1" s="28"/>
      <c r="G1" s="28"/>
      <c r="H1" s="28"/>
    </row>
    <row r="2" customFormat="false" ht="13.5" hidden="false" customHeight="true" outlineLevel="0" collapsed="false">
      <c r="A2" s="29" t="s">
        <v>20</v>
      </c>
      <c r="B2" s="29"/>
      <c r="C2" s="29"/>
      <c r="D2" s="29"/>
      <c r="E2" s="29"/>
      <c r="F2" s="29"/>
      <c r="G2" s="29"/>
      <c r="H2" s="29"/>
    </row>
    <row r="3" customFormat="false" ht="27.75" hidden="false" customHeight="true" outlineLevel="0" collapsed="false">
      <c r="A3" s="30" t="s">
        <v>21</v>
      </c>
      <c r="B3" s="30" t="s">
        <v>22</v>
      </c>
      <c r="C3" s="30" t="s">
        <v>23</v>
      </c>
      <c r="D3" s="30" t="s">
        <v>24</v>
      </c>
      <c r="E3" s="30" t="s">
        <v>25</v>
      </c>
      <c r="F3" s="30" t="s">
        <v>26</v>
      </c>
      <c r="G3" s="30" t="s">
        <v>5</v>
      </c>
      <c r="H3" s="30" t="s">
        <v>27</v>
      </c>
      <c r="I3" s="30" t="s">
        <v>12</v>
      </c>
    </row>
    <row r="4" customFormat="false" ht="15" hidden="false" customHeight="true" outlineLevel="0" collapsed="false">
      <c r="A4" s="31" t="s">
        <v>28</v>
      </c>
      <c r="B4" s="32" t="s">
        <v>29</v>
      </c>
      <c r="C4" s="32" t="s">
        <v>30</v>
      </c>
      <c r="D4" s="32" t="s">
        <v>31</v>
      </c>
      <c r="E4" s="33" t="n">
        <v>0</v>
      </c>
      <c r="F4" s="33" t="n">
        <v>986.746776105263</v>
      </c>
      <c r="G4" s="34" t="n">
        <v>986.746776105263</v>
      </c>
      <c r="H4" s="35"/>
      <c r="I4" s="36" t="s">
        <v>16</v>
      </c>
    </row>
    <row r="5" customFormat="false" ht="15" hidden="false" customHeight="true" outlineLevel="0" collapsed="false">
      <c r="A5" s="37" t="s">
        <v>28</v>
      </c>
      <c r="B5" s="38" t="s">
        <v>32</v>
      </c>
      <c r="C5" s="38" t="s">
        <v>30</v>
      </c>
      <c r="D5" s="38" t="s">
        <v>31</v>
      </c>
      <c r="E5" s="39" t="n">
        <v>0</v>
      </c>
      <c r="F5" s="39" t="n">
        <v>0</v>
      </c>
      <c r="G5" s="39" t="n">
        <v>0</v>
      </c>
      <c r="H5" s="40"/>
      <c r="I5" s="37" t="s">
        <v>18</v>
      </c>
    </row>
    <row r="6" customFormat="false" ht="15" hidden="false" customHeight="true" outlineLevel="0" collapsed="false">
      <c r="A6" s="37" t="s">
        <v>28</v>
      </c>
      <c r="B6" s="38" t="s">
        <v>33</v>
      </c>
      <c r="C6" s="38" t="s">
        <v>30</v>
      </c>
      <c r="D6" s="38" t="s">
        <v>31</v>
      </c>
      <c r="E6" s="39" t="n">
        <v>1737.650237</v>
      </c>
      <c r="F6" s="39" t="n">
        <v>1737.650237</v>
      </c>
      <c r="G6" s="39" t="n">
        <v>-2.27373675443232E-013</v>
      </c>
      <c r="H6" s="40" t="n">
        <v>-1.30851232659908E-016</v>
      </c>
      <c r="I6" s="37" t="s">
        <v>18</v>
      </c>
    </row>
    <row r="7" customFormat="false" ht="15" hidden="false" customHeight="true" outlineLevel="0" collapsed="false">
      <c r="A7" s="31" t="s">
        <v>34</v>
      </c>
      <c r="B7" s="32" t="s">
        <v>35</v>
      </c>
      <c r="C7" s="32" t="s">
        <v>36</v>
      </c>
      <c r="D7" s="32" t="s">
        <v>37</v>
      </c>
      <c r="E7" s="33" t="n">
        <v>0</v>
      </c>
      <c r="F7" s="33" t="n">
        <v>6734.55926782222</v>
      </c>
      <c r="G7" s="34" t="n">
        <v>6734.55926782222</v>
      </c>
      <c r="H7" s="35"/>
      <c r="I7" s="36" t="s">
        <v>16</v>
      </c>
    </row>
    <row r="8" customFormat="false" ht="15" hidden="false" customHeight="true" outlineLevel="0" collapsed="false">
      <c r="A8" s="31" t="s">
        <v>34</v>
      </c>
      <c r="B8" s="32" t="s">
        <v>38</v>
      </c>
      <c r="C8" s="32" t="s">
        <v>39</v>
      </c>
      <c r="D8" s="32" t="s">
        <v>40</v>
      </c>
      <c r="E8" s="33" t="n">
        <v>0</v>
      </c>
      <c r="F8" s="33" t="n">
        <v>2398.25361562162</v>
      </c>
      <c r="G8" s="34" t="n">
        <v>2398.25361562162</v>
      </c>
      <c r="H8" s="35"/>
      <c r="I8" s="36" t="s">
        <v>16</v>
      </c>
    </row>
    <row r="9" customFormat="false" ht="15" hidden="false" customHeight="true" outlineLevel="0" collapsed="false">
      <c r="A9" s="31" t="s">
        <v>34</v>
      </c>
      <c r="B9" s="32" t="s">
        <v>41</v>
      </c>
      <c r="C9" s="32" t="s">
        <v>42</v>
      </c>
      <c r="D9" s="32" t="s">
        <v>43</v>
      </c>
      <c r="E9" s="33" t="n">
        <v>0</v>
      </c>
      <c r="F9" s="33" t="n">
        <v>2087.0030865</v>
      </c>
      <c r="G9" s="34" t="n">
        <v>2087.0030865</v>
      </c>
      <c r="H9" s="35"/>
      <c r="I9" s="36" t="s">
        <v>16</v>
      </c>
    </row>
    <row r="10" customFormat="false" ht="15" hidden="false" customHeight="true" outlineLevel="0" collapsed="false">
      <c r="A10" s="41" t="s">
        <v>34</v>
      </c>
      <c r="B10" s="42" t="s">
        <v>44</v>
      </c>
      <c r="C10" s="42" t="s">
        <v>45</v>
      </c>
      <c r="D10" s="42" t="s">
        <v>40</v>
      </c>
      <c r="E10" s="43" t="n">
        <v>7980.38127184836</v>
      </c>
      <c r="F10" s="43" t="n">
        <v>8418.27541723546</v>
      </c>
      <c r="G10" s="44" t="n">
        <v>437.8941453871</v>
      </c>
      <c r="H10" s="45" t="n">
        <v>0.0548713313901202</v>
      </c>
      <c r="I10" s="46" t="s">
        <v>14</v>
      </c>
    </row>
    <row r="11" customFormat="false" ht="15" hidden="false" customHeight="true" outlineLevel="0" collapsed="false">
      <c r="A11" s="37" t="s">
        <v>34</v>
      </c>
      <c r="B11" s="38" t="s">
        <v>46</v>
      </c>
      <c r="C11" s="38" t="s">
        <v>47</v>
      </c>
      <c r="D11" s="38" t="s">
        <v>40</v>
      </c>
      <c r="E11" s="39" t="n">
        <v>11385.9492197299</v>
      </c>
      <c r="F11" s="39" t="n">
        <v>11385.9492197299</v>
      </c>
      <c r="G11" s="39" t="n">
        <v>0</v>
      </c>
      <c r="H11" s="40" t="n">
        <v>0</v>
      </c>
      <c r="I11" s="37" t="s">
        <v>18</v>
      </c>
    </row>
    <row r="12" customFormat="false" ht="15" hidden="false" customHeight="true" outlineLevel="0" collapsed="false">
      <c r="A12" s="37" t="s">
        <v>34</v>
      </c>
      <c r="B12" s="38" t="s">
        <v>48</v>
      </c>
      <c r="C12" s="38" t="s">
        <v>45</v>
      </c>
      <c r="D12" s="38" t="s">
        <v>40</v>
      </c>
      <c r="E12" s="39" t="n">
        <v>4712.57271216807</v>
      </c>
      <c r="F12" s="39" t="n">
        <v>4712.57271216807</v>
      </c>
      <c r="G12" s="39" t="n">
        <v>-9.09494701772928E-013</v>
      </c>
      <c r="H12" s="40" t="n">
        <v>-1.92993245372018E-016</v>
      </c>
      <c r="I12" s="37" t="s">
        <v>18</v>
      </c>
    </row>
    <row r="13" customFormat="false" ht="15" hidden="false" customHeight="true" outlineLevel="0" collapsed="false">
      <c r="A13" s="47" t="s">
        <v>34</v>
      </c>
      <c r="B13" s="48" t="s">
        <v>49</v>
      </c>
      <c r="C13" s="48" t="s">
        <v>49</v>
      </c>
      <c r="D13" s="48" t="s">
        <v>49</v>
      </c>
      <c r="E13" s="49" t="n">
        <v>1001.35772275568</v>
      </c>
      <c r="F13" s="49" t="n">
        <v>0</v>
      </c>
      <c r="G13" s="50" t="n">
        <v>-1001.35772275568</v>
      </c>
      <c r="H13" s="51" t="n">
        <v>-1</v>
      </c>
      <c r="I13" s="52" t="s">
        <v>17</v>
      </c>
    </row>
    <row r="14" customFormat="false" ht="15" hidden="false" customHeight="true" outlineLevel="0" collapsed="false">
      <c r="A14" s="53" t="s">
        <v>34</v>
      </c>
      <c r="B14" s="54" t="s">
        <v>50</v>
      </c>
      <c r="C14" s="54" t="s">
        <v>47</v>
      </c>
      <c r="D14" s="54" t="s">
        <v>40</v>
      </c>
      <c r="E14" s="55" t="n">
        <v>15026.5115287351</v>
      </c>
      <c r="F14" s="55" t="n">
        <v>9806.2599374256</v>
      </c>
      <c r="G14" s="56" t="n">
        <v>-5220.25159130952</v>
      </c>
      <c r="H14" s="57" t="n">
        <v>-0.347402760868806</v>
      </c>
      <c r="I14" s="58" t="s">
        <v>15</v>
      </c>
    </row>
    <row r="15" customFormat="false" ht="15" hidden="false" customHeight="true" outlineLevel="0" collapsed="false">
      <c r="A15" s="41" t="s">
        <v>51</v>
      </c>
      <c r="B15" s="42" t="s">
        <v>49</v>
      </c>
      <c r="C15" s="42" t="s">
        <v>49</v>
      </c>
      <c r="D15" s="42" t="s">
        <v>49</v>
      </c>
      <c r="E15" s="43" t="n">
        <v>6689.60338182472</v>
      </c>
      <c r="F15" s="43" t="n">
        <v>7809.36422566098</v>
      </c>
      <c r="G15" s="44" t="n">
        <v>1119.76084383627</v>
      </c>
      <c r="H15" s="45" t="n">
        <v>0.167388226165784</v>
      </c>
      <c r="I15" s="46" t="s">
        <v>14</v>
      </c>
    </row>
    <row r="16" customFormat="false" ht="15" hidden="false" customHeight="true" outlineLevel="0" collapsed="false">
      <c r="A16" s="41" t="s">
        <v>52</v>
      </c>
      <c r="B16" s="42" t="s">
        <v>53</v>
      </c>
      <c r="C16" s="42" t="s">
        <v>54</v>
      </c>
      <c r="D16" s="42" t="s">
        <v>55</v>
      </c>
      <c r="E16" s="43" t="n">
        <v>37966.4471539815</v>
      </c>
      <c r="F16" s="43" t="n">
        <v>65161.229224</v>
      </c>
      <c r="G16" s="44" t="n">
        <v>27194.7820700185</v>
      </c>
      <c r="H16" s="45" t="n">
        <v>0.716284617302322</v>
      </c>
      <c r="I16" s="46" t="s">
        <v>14</v>
      </c>
    </row>
    <row r="17" customFormat="false" ht="15" hidden="false" customHeight="true" outlineLevel="0" collapsed="false">
      <c r="A17" s="31" t="s">
        <v>52</v>
      </c>
      <c r="B17" s="32" t="s">
        <v>56</v>
      </c>
      <c r="C17" s="32" t="s">
        <v>57</v>
      </c>
      <c r="D17" s="32" t="s">
        <v>55</v>
      </c>
      <c r="E17" s="33" t="n">
        <v>0</v>
      </c>
      <c r="F17" s="33" t="n">
        <v>10724.1146813532</v>
      </c>
      <c r="G17" s="34" t="n">
        <v>10724.1146813532</v>
      </c>
      <c r="H17" s="35"/>
      <c r="I17" s="36" t="s">
        <v>16</v>
      </c>
    </row>
    <row r="18" customFormat="false" ht="15" hidden="false" customHeight="true" outlineLevel="0" collapsed="false">
      <c r="A18" s="31" t="s">
        <v>52</v>
      </c>
      <c r="B18" s="32" t="s">
        <v>49</v>
      </c>
      <c r="C18" s="32" t="s">
        <v>49</v>
      </c>
      <c r="D18" s="32" t="s">
        <v>49</v>
      </c>
      <c r="E18" s="33" t="n">
        <v>0</v>
      </c>
      <c r="F18" s="33" t="n">
        <v>1428.06069530769</v>
      </c>
      <c r="G18" s="34" t="n">
        <v>1428.06069530769</v>
      </c>
      <c r="H18" s="35"/>
      <c r="I18" s="36" t="s">
        <v>16</v>
      </c>
    </row>
    <row r="19" customFormat="false" ht="15" hidden="false" customHeight="true" outlineLevel="0" collapsed="false">
      <c r="A19" s="37" t="s">
        <v>52</v>
      </c>
      <c r="B19" s="38" t="s">
        <v>58</v>
      </c>
      <c r="C19" s="38" t="s">
        <v>57</v>
      </c>
      <c r="D19" s="38" t="s">
        <v>55</v>
      </c>
      <c r="E19" s="39" t="n">
        <v>98623.9632123025</v>
      </c>
      <c r="F19" s="39" t="n">
        <v>98623.9632123025</v>
      </c>
      <c r="G19" s="39" t="n">
        <v>2.91038304567337E-011</v>
      </c>
      <c r="H19" s="59" t="n">
        <v>2.95098975023783E-016</v>
      </c>
      <c r="I19" s="37" t="s">
        <v>18</v>
      </c>
    </row>
    <row r="20" customFormat="false" ht="15" hidden="false" customHeight="true" outlineLevel="0" collapsed="false">
      <c r="A20" s="37" t="s">
        <v>52</v>
      </c>
      <c r="B20" s="38" t="s">
        <v>59</v>
      </c>
      <c r="C20" s="38" t="s">
        <v>60</v>
      </c>
      <c r="D20" s="38" t="s">
        <v>55</v>
      </c>
      <c r="E20" s="39" t="n">
        <v>30379.9078566579</v>
      </c>
      <c r="F20" s="39" t="n">
        <v>30379.9078566579</v>
      </c>
      <c r="G20" s="39" t="n">
        <v>3.63797880709171E-012</v>
      </c>
      <c r="H20" s="59" t="n">
        <v>1.19749501027352E-016</v>
      </c>
      <c r="I20" s="37" t="s">
        <v>18</v>
      </c>
    </row>
    <row r="21" customFormat="false" ht="15" hidden="false" customHeight="true" outlineLevel="0" collapsed="false">
      <c r="A21" s="37" t="s">
        <v>52</v>
      </c>
      <c r="B21" s="38" t="s">
        <v>61</v>
      </c>
      <c r="C21" s="38" t="s">
        <v>54</v>
      </c>
      <c r="D21" s="38" t="s">
        <v>55</v>
      </c>
      <c r="E21" s="39" t="n">
        <v>18410.9589036837</v>
      </c>
      <c r="F21" s="39" t="n">
        <v>18410.9589036837</v>
      </c>
      <c r="G21" s="39" t="n">
        <v>0</v>
      </c>
      <c r="H21" s="40" t="n">
        <v>0</v>
      </c>
      <c r="I21" s="37" t="s">
        <v>18</v>
      </c>
    </row>
    <row r="22" customFormat="false" ht="15" hidden="false" customHeight="true" outlineLevel="0" collapsed="false">
      <c r="A22" s="47" t="s">
        <v>52</v>
      </c>
      <c r="B22" s="48" t="s">
        <v>62</v>
      </c>
      <c r="C22" s="48" t="s">
        <v>60</v>
      </c>
      <c r="D22" s="48" t="s">
        <v>55</v>
      </c>
      <c r="E22" s="49" t="n">
        <v>7706.301369</v>
      </c>
      <c r="F22" s="49" t="n">
        <v>0</v>
      </c>
      <c r="G22" s="50" t="n">
        <v>-7706.301369</v>
      </c>
      <c r="H22" s="51" t="n">
        <v>-1</v>
      </c>
      <c r="I22" s="52" t="s">
        <v>17</v>
      </c>
    </row>
    <row r="23" customFormat="false" ht="15" hidden="false" customHeight="true" outlineLevel="0" collapsed="false">
      <c r="A23" s="47" t="s">
        <v>52</v>
      </c>
      <c r="B23" s="48" t="s">
        <v>63</v>
      </c>
      <c r="C23" s="48" t="s">
        <v>64</v>
      </c>
      <c r="D23" s="48" t="s">
        <v>55</v>
      </c>
      <c r="E23" s="49" t="n">
        <v>9935.73544197325</v>
      </c>
      <c r="F23" s="49" t="n">
        <v>0</v>
      </c>
      <c r="G23" s="50" t="n">
        <v>-9935.73544197325</v>
      </c>
      <c r="H23" s="51" t="n">
        <v>-1</v>
      </c>
      <c r="I23" s="52" t="s">
        <v>17</v>
      </c>
    </row>
    <row r="24" customFormat="false" ht="15" hidden="false" customHeight="true" outlineLevel="0" collapsed="false">
      <c r="A24" s="47" t="s">
        <v>52</v>
      </c>
      <c r="B24" s="48" t="s">
        <v>65</v>
      </c>
      <c r="C24" s="48" t="s">
        <v>60</v>
      </c>
      <c r="D24" s="48" t="s">
        <v>55</v>
      </c>
      <c r="E24" s="49" t="n">
        <v>10487.9615308618</v>
      </c>
      <c r="F24" s="49" t="n">
        <v>0</v>
      </c>
      <c r="G24" s="50" t="n">
        <v>-10487.9615308618</v>
      </c>
      <c r="H24" s="51" t="n">
        <v>-1</v>
      </c>
      <c r="I24" s="52" t="s">
        <v>17</v>
      </c>
    </row>
    <row r="25" customFormat="false" ht="15" hidden="false" customHeight="true" outlineLevel="0" collapsed="false">
      <c r="A25" s="31" t="s">
        <v>66</v>
      </c>
      <c r="B25" s="32" t="s">
        <v>67</v>
      </c>
      <c r="C25" s="32" t="s">
        <v>68</v>
      </c>
      <c r="D25" s="32" t="s">
        <v>69</v>
      </c>
      <c r="E25" s="33" t="n">
        <v>0</v>
      </c>
      <c r="F25" s="33" t="n">
        <v>12127.0096277143</v>
      </c>
      <c r="G25" s="34" t="n">
        <v>12127.0096277143</v>
      </c>
      <c r="H25" s="35"/>
      <c r="I25" s="36" t="s">
        <v>16</v>
      </c>
    </row>
    <row r="26" customFormat="false" ht="15" hidden="false" customHeight="true" outlineLevel="0" collapsed="false">
      <c r="A26" s="31" t="s">
        <v>66</v>
      </c>
      <c r="B26" s="32" t="s">
        <v>49</v>
      </c>
      <c r="C26" s="32" t="s">
        <v>49</v>
      </c>
      <c r="D26" s="32" t="s">
        <v>49</v>
      </c>
      <c r="E26" s="33" t="n">
        <v>0</v>
      </c>
      <c r="F26" s="33" t="n">
        <v>5563.29398422556</v>
      </c>
      <c r="G26" s="34" t="n">
        <v>5563.29398422556</v>
      </c>
      <c r="H26" s="35"/>
      <c r="I26" s="36" t="s">
        <v>16</v>
      </c>
    </row>
    <row r="27" customFormat="false" ht="15" hidden="false" customHeight="true" outlineLevel="0" collapsed="false">
      <c r="A27" s="37" t="s">
        <v>66</v>
      </c>
      <c r="B27" s="38" t="s">
        <v>70</v>
      </c>
      <c r="C27" s="38" t="s">
        <v>71</v>
      </c>
      <c r="D27" s="38" t="s">
        <v>69</v>
      </c>
      <c r="E27" s="39" t="n">
        <v>4764.90476500276</v>
      </c>
      <c r="F27" s="39" t="n">
        <v>4764.90476500276</v>
      </c>
      <c r="G27" s="39" t="n">
        <v>0</v>
      </c>
      <c r="H27" s="40" t="n">
        <v>0</v>
      </c>
      <c r="I27" s="37" t="s">
        <v>18</v>
      </c>
    </row>
    <row r="28" customFormat="false" ht="15" hidden="false" customHeight="true" outlineLevel="0" collapsed="false">
      <c r="A28" s="37" t="s">
        <v>66</v>
      </c>
      <c r="B28" s="38" t="s">
        <v>72</v>
      </c>
      <c r="C28" s="38" t="s">
        <v>73</v>
      </c>
      <c r="D28" s="38" t="s">
        <v>69</v>
      </c>
      <c r="E28" s="39" t="n">
        <v>4515.2145138</v>
      </c>
      <c r="F28" s="39" t="n">
        <v>4515.2145138</v>
      </c>
      <c r="G28" s="39" t="n">
        <v>0</v>
      </c>
      <c r="H28" s="40" t="n">
        <v>0</v>
      </c>
      <c r="I28" s="37" t="s">
        <v>18</v>
      </c>
    </row>
    <row r="29" customFormat="false" ht="15" hidden="false" customHeight="true" outlineLevel="0" collapsed="false">
      <c r="A29" s="41" t="s">
        <v>74</v>
      </c>
      <c r="B29" s="42" t="s">
        <v>75</v>
      </c>
      <c r="C29" s="42" t="s">
        <v>76</v>
      </c>
      <c r="D29" s="42" t="s">
        <v>77</v>
      </c>
      <c r="E29" s="43" t="n">
        <v>729.074224152615</v>
      </c>
      <c r="F29" s="43" t="n">
        <v>729.311425592397</v>
      </c>
      <c r="G29" s="44" t="n">
        <v>0.237201439782325</v>
      </c>
      <c r="H29" s="45" t="n">
        <v>0.000325346078525843</v>
      </c>
      <c r="I29" s="46" t="s">
        <v>14</v>
      </c>
    </row>
    <row r="30" customFormat="false" ht="15" hidden="false" customHeight="true" outlineLevel="0" collapsed="false">
      <c r="A30" s="37" t="s">
        <v>74</v>
      </c>
      <c r="B30" s="38" t="s">
        <v>78</v>
      </c>
      <c r="C30" s="38" t="s">
        <v>76</v>
      </c>
      <c r="D30" s="38" t="s">
        <v>77</v>
      </c>
      <c r="E30" s="39" t="n">
        <v>0</v>
      </c>
      <c r="F30" s="39" t="n">
        <v>0</v>
      </c>
      <c r="G30" s="39" t="n">
        <v>0</v>
      </c>
      <c r="H30" s="40"/>
      <c r="I30" s="37" t="s">
        <v>18</v>
      </c>
    </row>
    <row r="31" customFormat="false" ht="15" hidden="false" customHeight="true" outlineLevel="0" collapsed="false">
      <c r="A31" s="53" t="s">
        <v>74</v>
      </c>
      <c r="B31" s="54" t="s">
        <v>49</v>
      </c>
      <c r="C31" s="54" t="s">
        <v>49</v>
      </c>
      <c r="D31" s="54" t="s">
        <v>49</v>
      </c>
      <c r="E31" s="55" t="n">
        <v>21267.7341677797</v>
      </c>
      <c r="F31" s="55" t="n">
        <v>19857.0917002418</v>
      </c>
      <c r="G31" s="56" t="n">
        <v>-1410.64246753792</v>
      </c>
      <c r="H31" s="57" t="n">
        <v>-0.0663278211213972</v>
      </c>
      <c r="I31" s="58" t="s">
        <v>15</v>
      </c>
    </row>
    <row r="32" customFormat="false" ht="15" hidden="false" customHeight="true" outlineLevel="0" collapsed="false">
      <c r="A32" s="31" t="s">
        <v>79</v>
      </c>
      <c r="B32" s="32" t="s">
        <v>80</v>
      </c>
      <c r="C32" s="32" t="s">
        <v>81</v>
      </c>
      <c r="D32" s="32" t="s">
        <v>82</v>
      </c>
      <c r="E32" s="33" t="n">
        <v>0</v>
      </c>
      <c r="F32" s="33" t="n">
        <v>10167.8729661751</v>
      </c>
      <c r="G32" s="34" t="n">
        <v>10167.8729661751</v>
      </c>
      <c r="H32" s="35"/>
      <c r="I32" s="36" t="s">
        <v>16</v>
      </c>
    </row>
    <row r="33" customFormat="false" ht="15" hidden="false" customHeight="true" outlineLevel="0" collapsed="false">
      <c r="A33" s="31" t="s">
        <v>79</v>
      </c>
      <c r="B33" s="32" t="s">
        <v>49</v>
      </c>
      <c r="C33" s="32" t="s">
        <v>49</v>
      </c>
      <c r="D33" s="32" t="s">
        <v>49</v>
      </c>
      <c r="E33" s="33" t="n">
        <v>0</v>
      </c>
      <c r="F33" s="33" t="n">
        <v>3298.10427230431</v>
      </c>
      <c r="G33" s="34" t="n">
        <v>3298.10427230431</v>
      </c>
      <c r="H33" s="35"/>
      <c r="I33" s="36" t="s">
        <v>16</v>
      </c>
    </row>
    <row r="34" customFormat="false" ht="15" hidden="false" customHeight="true" outlineLevel="0" collapsed="false">
      <c r="A34" s="41" t="s">
        <v>79</v>
      </c>
      <c r="B34" s="42" t="s">
        <v>83</v>
      </c>
      <c r="C34" s="42" t="s">
        <v>84</v>
      </c>
      <c r="D34" s="42" t="s">
        <v>85</v>
      </c>
      <c r="E34" s="43" t="n">
        <v>7059.31395867179</v>
      </c>
      <c r="F34" s="43" t="n">
        <v>10233.9280366237</v>
      </c>
      <c r="G34" s="44" t="n">
        <v>3174.61407795187</v>
      </c>
      <c r="H34" s="45" t="n">
        <v>0.449705749954939</v>
      </c>
      <c r="I34" s="46" t="s">
        <v>14</v>
      </c>
    </row>
    <row r="35" customFormat="false" ht="15" hidden="false" customHeight="true" outlineLevel="0" collapsed="false">
      <c r="A35" s="31" t="s">
        <v>79</v>
      </c>
      <c r="B35" s="32" t="s">
        <v>86</v>
      </c>
      <c r="C35" s="32" t="s">
        <v>87</v>
      </c>
      <c r="D35" s="32" t="s">
        <v>88</v>
      </c>
      <c r="E35" s="33" t="n">
        <v>0</v>
      </c>
      <c r="F35" s="33" t="n">
        <v>739.027798941177</v>
      </c>
      <c r="G35" s="34" t="n">
        <v>739.027798941177</v>
      </c>
      <c r="H35" s="35"/>
      <c r="I35" s="36" t="s">
        <v>16</v>
      </c>
    </row>
    <row r="36" customFormat="false" ht="15" hidden="false" customHeight="true" outlineLevel="0" collapsed="false">
      <c r="A36" s="31" t="s">
        <v>79</v>
      </c>
      <c r="B36" s="32" t="s">
        <v>89</v>
      </c>
      <c r="C36" s="32" t="s">
        <v>90</v>
      </c>
      <c r="D36" s="32" t="s">
        <v>91</v>
      </c>
      <c r="E36" s="33" t="n">
        <v>0</v>
      </c>
      <c r="F36" s="33" t="n">
        <v>244.668156470588</v>
      </c>
      <c r="G36" s="34" t="n">
        <v>244.668156470588</v>
      </c>
      <c r="H36" s="35"/>
      <c r="I36" s="36" t="s">
        <v>16</v>
      </c>
    </row>
    <row r="37" customFormat="false" ht="15" hidden="false" customHeight="true" outlineLevel="0" collapsed="false">
      <c r="A37" s="31" t="s">
        <v>79</v>
      </c>
      <c r="B37" s="32" t="s">
        <v>92</v>
      </c>
      <c r="C37" s="32" t="s">
        <v>93</v>
      </c>
      <c r="D37" s="32" t="s">
        <v>94</v>
      </c>
      <c r="E37" s="33" t="n">
        <v>0</v>
      </c>
      <c r="F37" s="33" t="n">
        <v>65.302358906422</v>
      </c>
      <c r="G37" s="34" t="n">
        <v>65.302358906422</v>
      </c>
      <c r="H37" s="35"/>
      <c r="I37" s="36" t="s">
        <v>16</v>
      </c>
    </row>
    <row r="38" customFormat="false" ht="15" hidden="false" customHeight="true" outlineLevel="0" collapsed="false">
      <c r="A38" s="37" t="s">
        <v>79</v>
      </c>
      <c r="B38" s="38" t="s">
        <v>95</v>
      </c>
      <c r="C38" s="38" t="s">
        <v>96</v>
      </c>
      <c r="D38" s="38" t="s">
        <v>97</v>
      </c>
      <c r="E38" s="39" t="n">
        <v>0</v>
      </c>
      <c r="F38" s="39" t="n">
        <v>0</v>
      </c>
      <c r="G38" s="39" t="n">
        <v>0</v>
      </c>
      <c r="H38" s="40"/>
      <c r="I38" s="37" t="s">
        <v>18</v>
      </c>
    </row>
    <row r="39" customFormat="false" ht="15" hidden="false" customHeight="true" outlineLevel="0" collapsed="false">
      <c r="A39" s="37" t="s">
        <v>79</v>
      </c>
      <c r="B39" s="38" t="s">
        <v>98</v>
      </c>
      <c r="C39" s="38" t="s">
        <v>99</v>
      </c>
      <c r="D39" s="38" t="s">
        <v>100</v>
      </c>
      <c r="E39" s="39" t="n">
        <v>80076.0597249427</v>
      </c>
      <c r="F39" s="39" t="n">
        <v>80076.0597249427</v>
      </c>
      <c r="G39" s="39" t="n">
        <v>0</v>
      </c>
      <c r="H39" s="40" t="n">
        <v>0</v>
      </c>
      <c r="I39" s="37" t="s">
        <v>18</v>
      </c>
    </row>
    <row r="40" customFormat="false" ht="15" hidden="false" customHeight="true" outlineLevel="0" collapsed="false">
      <c r="A40" s="37" t="s">
        <v>79</v>
      </c>
      <c r="B40" s="38" t="s">
        <v>101</v>
      </c>
      <c r="C40" s="38" t="s">
        <v>102</v>
      </c>
      <c r="D40" s="38" t="s">
        <v>103</v>
      </c>
      <c r="E40" s="39" t="n">
        <v>12443.3937932308</v>
      </c>
      <c r="F40" s="39" t="n">
        <v>12443.3937932308</v>
      </c>
      <c r="G40" s="39" t="n">
        <v>0</v>
      </c>
      <c r="H40" s="40" t="n">
        <v>0</v>
      </c>
      <c r="I40" s="37" t="s">
        <v>18</v>
      </c>
    </row>
    <row r="41" customFormat="false" ht="15" hidden="false" customHeight="true" outlineLevel="0" collapsed="false">
      <c r="A41" s="37" t="s">
        <v>79</v>
      </c>
      <c r="B41" s="38" t="s">
        <v>104</v>
      </c>
      <c r="C41" s="38" t="s">
        <v>105</v>
      </c>
      <c r="D41" s="38" t="s">
        <v>94</v>
      </c>
      <c r="E41" s="39" t="n">
        <v>0</v>
      </c>
      <c r="F41" s="39" t="n">
        <v>0</v>
      </c>
      <c r="G41" s="39" t="n">
        <v>0</v>
      </c>
      <c r="H41" s="40"/>
      <c r="I41" s="37" t="s">
        <v>18</v>
      </c>
    </row>
    <row r="42" customFormat="false" ht="15" hidden="false" customHeight="true" outlineLevel="0" collapsed="false">
      <c r="A42" s="47" t="s">
        <v>79</v>
      </c>
      <c r="B42" s="48" t="s">
        <v>106</v>
      </c>
      <c r="C42" s="48" t="s">
        <v>107</v>
      </c>
      <c r="D42" s="48" t="s">
        <v>103</v>
      </c>
      <c r="E42" s="49" t="n">
        <v>1072.93124430079</v>
      </c>
      <c r="F42" s="49" t="n">
        <v>0</v>
      </c>
      <c r="G42" s="50" t="n">
        <v>-1072.93124430079</v>
      </c>
      <c r="H42" s="51" t="n">
        <v>-1</v>
      </c>
      <c r="I42" s="52" t="s">
        <v>17</v>
      </c>
    </row>
    <row r="43" customFormat="false" ht="15" hidden="false" customHeight="true" outlineLevel="0" collapsed="false">
      <c r="A43" s="47" t="s">
        <v>79</v>
      </c>
      <c r="B43" s="48" t="s">
        <v>108</v>
      </c>
      <c r="C43" s="48" t="s">
        <v>102</v>
      </c>
      <c r="D43" s="48" t="s">
        <v>103</v>
      </c>
      <c r="E43" s="49" t="n">
        <v>4155.68252312874</v>
      </c>
      <c r="F43" s="49" t="n">
        <v>0</v>
      </c>
      <c r="G43" s="50" t="n">
        <v>-4155.68252312874</v>
      </c>
      <c r="H43" s="51" t="n">
        <v>-1</v>
      </c>
      <c r="I43" s="52" t="s">
        <v>17</v>
      </c>
    </row>
    <row r="44" customFormat="false" ht="15" hidden="false" customHeight="true" outlineLevel="0" collapsed="false">
      <c r="A44" s="47" t="s">
        <v>79</v>
      </c>
      <c r="B44" s="48" t="s">
        <v>109</v>
      </c>
      <c r="C44" s="48" t="s">
        <v>87</v>
      </c>
      <c r="D44" s="48" t="s">
        <v>88</v>
      </c>
      <c r="E44" s="49" t="n">
        <v>24269.3126692</v>
      </c>
      <c r="F44" s="49" t="n">
        <v>0</v>
      </c>
      <c r="G44" s="50" t="n">
        <v>-24269.3126692</v>
      </c>
      <c r="H44" s="51" t="n">
        <v>-1</v>
      </c>
      <c r="I44" s="52" t="s">
        <v>17</v>
      </c>
    </row>
    <row r="45" customFormat="false" ht="15" hidden="false" customHeight="true" outlineLevel="0" collapsed="false">
      <c r="A45" s="31" t="s">
        <v>110</v>
      </c>
      <c r="B45" s="32" t="s">
        <v>111</v>
      </c>
      <c r="C45" s="32" t="s">
        <v>112</v>
      </c>
      <c r="D45" s="32" t="s">
        <v>113</v>
      </c>
      <c r="E45" s="33" t="n">
        <v>0</v>
      </c>
      <c r="F45" s="33" t="n">
        <v>5550.05145</v>
      </c>
      <c r="G45" s="34" t="n">
        <v>5550.05145</v>
      </c>
      <c r="H45" s="35"/>
      <c r="I45" s="36" t="s">
        <v>16</v>
      </c>
    </row>
    <row r="46" customFormat="false" ht="15" hidden="false" customHeight="true" outlineLevel="0" collapsed="false">
      <c r="A46" s="53" t="s">
        <v>110</v>
      </c>
      <c r="B46" s="54" t="s">
        <v>114</v>
      </c>
      <c r="C46" s="54" t="s">
        <v>115</v>
      </c>
      <c r="D46" s="54" t="s">
        <v>116</v>
      </c>
      <c r="E46" s="55" t="n">
        <v>37414.6880870892</v>
      </c>
      <c r="F46" s="55" t="n">
        <v>29249.0154124216</v>
      </c>
      <c r="G46" s="56" t="n">
        <v>-8165.67267466756</v>
      </c>
      <c r="H46" s="57" t="n">
        <v>-0.218247781610809</v>
      </c>
      <c r="I46" s="58" t="s">
        <v>15</v>
      </c>
    </row>
    <row r="47" customFormat="false" ht="15" hidden="false" customHeight="true" outlineLevel="0" collapsed="false">
      <c r="A47" s="53" t="s">
        <v>117</v>
      </c>
      <c r="B47" s="54" t="s">
        <v>49</v>
      </c>
      <c r="C47" s="54" t="s">
        <v>49</v>
      </c>
      <c r="D47" s="54" t="s">
        <v>49</v>
      </c>
      <c r="E47" s="55" t="n">
        <v>24858.6849847714</v>
      </c>
      <c r="F47" s="55" t="n">
        <v>21580.3771315931</v>
      </c>
      <c r="G47" s="56" t="n">
        <v>-3278.3078531783</v>
      </c>
      <c r="H47" s="57" t="n">
        <v>-0.131877766470214</v>
      </c>
      <c r="I47" s="58" t="s">
        <v>15</v>
      </c>
    </row>
    <row r="48" customFormat="false" ht="15" hidden="false" customHeight="true" outlineLevel="0" collapsed="false">
      <c r="A48" s="41" t="s">
        <v>118</v>
      </c>
      <c r="B48" s="42" t="s">
        <v>49</v>
      </c>
      <c r="C48" s="42" t="s">
        <v>49</v>
      </c>
      <c r="D48" s="42" t="s">
        <v>49</v>
      </c>
      <c r="E48" s="43" t="n">
        <v>378.019379953398</v>
      </c>
      <c r="F48" s="43" t="n">
        <v>1960.49395387278</v>
      </c>
      <c r="G48" s="44" t="n">
        <v>1582.47457391938</v>
      </c>
      <c r="H48" s="45" t="n">
        <v>4.18622604511564</v>
      </c>
      <c r="I48" s="46" t="s">
        <v>14</v>
      </c>
    </row>
    <row r="49" customFormat="false" ht="15" hidden="false" customHeight="true" outlineLevel="0" collapsed="false">
      <c r="A49" s="37" t="s">
        <v>118</v>
      </c>
      <c r="B49" s="38" t="s">
        <v>119</v>
      </c>
      <c r="C49" s="38" t="s">
        <v>120</v>
      </c>
      <c r="D49" s="38" t="s">
        <v>121</v>
      </c>
      <c r="E49" s="39" t="n">
        <v>0</v>
      </c>
      <c r="F49" s="39" t="n">
        <v>0</v>
      </c>
      <c r="G49" s="39" t="n">
        <v>0</v>
      </c>
      <c r="H49" s="40"/>
      <c r="I49" s="37" t="s">
        <v>18</v>
      </c>
    </row>
    <row r="50" customFormat="false" ht="15" hidden="false" customHeight="true" outlineLevel="0" collapsed="false">
      <c r="A50" s="37" t="s">
        <v>118</v>
      </c>
      <c r="B50" s="38" t="s">
        <v>122</v>
      </c>
      <c r="C50" s="38" t="s">
        <v>123</v>
      </c>
      <c r="D50" s="38" t="s">
        <v>124</v>
      </c>
      <c r="E50" s="39" t="n">
        <v>0</v>
      </c>
      <c r="F50" s="39" t="n">
        <v>0</v>
      </c>
      <c r="G50" s="39" t="n">
        <v>0</v>
      </c>
      <c r="H50" s="40"/>
      <c r="I50" s="37" t="s">
        <v>18</v>
      </c>
    </row>
    <row r="51" customFormat="false" ht="15" hidden="false" customHeight="true" outlineLevel="0" collapsed="false">
      <c r="A51" s="37" t="s">
        <v>118</v>
      </c>
      <c r="B51" s="38" t="s">
        <v>125</v>
      </c>
      <c r="C51" s="38" t="s">
        <v>123</v>
      </c>
      <c r="D51" s="38" t="s">
        <v>124</v>
      </c>
      <c r="E51" s="39" t="n">
        <v>5694.27938876923</v>
      </c>
      <c r="F51" s="39" t="n">
        <v>5694.27938876923</v>
      </c>
      <c r="G51" s="39" t="n">
        <v>0</v>
      </c>
      <c r="H51" s="40" t="n">
        <v>0</v>
      </c>
      <c r="I51" s="37" t="s">
        <v>18</v>
      </c>
    </row>
    <row r="52" customFormat="false" ht="15" hidden="false" customHeight="true" outlineLevel="0" collapsed="false">
      <c r="A52" s="37" t="s">
        <v>118</v>
      </c>
      <c r="B52" s="38" t="s">
        <v>126</v>
      </c>
      <c r="C52" s="38" t="s">
        <v>127</v>
      </c>
      <c r="D52" s="38" t="s">
        <v>124</v>
      </c>
      <c r="E52" s="39" t="n">
        <v>13272.0679188662</v>
      </c>
      <c r="F52" s="39" t="n">
        <v>13272.0679188662</v>
      </c>
      <c r="G52" s="39" t="n">
        <v>0</v>
      </c>
      <c r="H52" s="40" t="n">
        <v>0</v>
      </c>
      <c r="I52" s="37" t="s">
        <v>18</v>
      </c>
    </row>
    <row r="53" customFormat="false" ht="15" hidden="false" customHeight="true" outlineLevel="0" collapsed="false">
      <c r="A53" s="37" t="s">
        <v>118</v>
      </c>
      <c r="B53" s="38" t="s">
        <v>128</v>
      </c>
      <c r="C53" s="38" t="s">
        <v>123</v>
      </c>
      <c r="D53" s="38" t="s">
        <v>124</v>
      </c>
      <c r="E53" s="39" t="n">
        <v>4967.22473630769</v>
      </c>
      <c r="F53" s="39" t="n">
        <v>4967.22473630769</v>
      </c>
      <c r="G53" s="39" t="n">
        <v>0</v>
      </c>
      <c r="H53" s="40" t="n">
        <v>0</v>
      </c>
      <c r="I53" s="37" t="s">
        <v>18</v>
      </c>
    </row>
    <row r="54" customFormat="false" ht="15" hidden="false" customHeight="true" outlineLevel="0" collapsed="false">
      <c r="A54" s="53" t="s">
        <v>118</v>
      </c>
      <c r="B54" s="54" t="s">
        <v>129</v>
      </c>
      <c r="C54" s="54" t="s">
        <v>123</v>
      </c>
      <c r="D54" s="54" t="s">
        <v>124</v>
      </c>
      <c r="E54" s="55" t="n">
        <v>15934.4671220398</v>
      </c>
      <c r="F54" s="55" t="n">
        <v>15934.3085637569</v>
      </c>
      <c r="G54" s="56" t="n">
        <v>-0.158558282922968</v>
      </c>
      <c r="H54" s="57" t="n">
        <v>-9.95064859769658E-006</v>
      </c>
      <c r="I54" s="58" t="s">
        <v>15</v>
      </c>
    </row>
    <row r="55" customFormat="false" ht="15" hidden="false" customHeight="true" outlineLevel="0" collapsed="false">
      <c r="A55" s="53" t="s">
        <v>118</v>
      </c>
      <c r="B55" s="54" t="s">
        <v>130</v>
      </c>
      <c r="C55" s="54" t="s">
        <v>131</v>
      </c>
      <c r="D55" s="54" t="s">
        <v>132</v>
      </c>
      <c r="E55" s="55" t="n">
        <v>3080.2460654491</v>
      </c>
      <c r="F55" s="55" t="n">
        <v>609.135093701657</v>
      </c>
      <c r="G55" s="56" t="n">
        <v>-2471.11097174745</v>
      </c>
      <c r="H55" s="57" t="n">
        <v>-0.802244664627842</v>
      </c>
      <c r="I55" s="58" t="s">
        <v>15</v>
      </c>
    </row>
    <row r="56" customFormat="false" ht="15" hidden="false" customHeight="true" outlineLevel="0" collapsed="false">
      <c r="A56" s="47" t="s">
        <v>118</v>
      </c>
      <c r="B56" s="48" t="s">
        <v>133</v>
      </c>
      <c r="C56" s="48" t="s">
        <v>134</v>
      </c>
      <c r="D56" s="48" t="s">
        <v>124</v>
      </c>
      <c r="E56" s="49" t="n">
        <v>4365.65075184721</v>
      </c>
      <c r="F56" s="49" t="n">
        <v>0</v>
      </c>
      <c r="G56" s="50" t="n">
        <v>-4365.65075184721</v>
      </c>
      <c r="H56" s="51" t="n">
        <v>-1</v>
      </c>
      <c r="I56" s="52" t="s">
        <v>17</v>
      </c>
    </row>
    <row r="57" customFormat="false" ht="15" hidden="false" customHeight="true" outlineLevel="0" collapsed="false">
      <c r="A57" s="47" t="s">
        <v>118</v>
      </c>
      <c r="B57" s="48" t="s">
        <v>135</v>
      </c>
      <c r="C57" s="48" t="s">
        <v>123</v>
      </c>
      <c r="D57" s="48" t="s">
        <v>124</v>
      </c>
      <c r="E57" s="49" t="n">
        <v>6651.66796664063</v>
      </c>
      <c r="F57" s="49" t="n">
        <v>0</v>
      </c>
      <c r="G57" s="50" t="n">
        <v>-6651.66796664063</v>
      </c>
      <c r="H57" s="51" t="n">
        <v>-1</v>
      </c>
      <c r="I57" s="52" t="s">
        <v>17</v>
      </c>
    </row>
    <row r="58" customFormat="false" ht="15" hidden="false" customHeight="true" outlineLevel="0" collapsed="false">
      <c r="A58" s="53" t="s">
        <v>118</v>
      </c>
      <c r="B58" s="54" t="s">
        <v>136</v>
      </c>
      <c r="C58" s="54" t="s">
        <v>137</v>
      </c>
      <c r="D58" s="54" t="s">
        <v>132</v>
      </c>
      <c r="E58" s="55" t="n">
        <v>21256.3222800148</v>
      </c>
      <c r="F58" s="55" t="n">
        <v>9635.48229172331</v>
      </c>
      <c r="G58" s="56" t="n">
        <v>-11620.8399882915</v>
      </c>
      <c r="H58" s="57" t="n">
        <v>-0.54670040448236</v>
      </c>
      <c r="I58" s="58" t="s">
        <v>15</v>
      </c>
    </row>
    <row r="59" customFormat="false" ht="15" hidden="false" customHeight="true" outlineLevel="0" collapsed="false">
      <c r="A59" s="53" t="s">
        <v>118</v>
      </c>
      <c r="B59" s="54" t="s">
        <v>138</v>
      </c>
      <c r="C59" s="54" t="s">
        <v>123</v>
      </c>
      <c r="D59" s="54" t="s">
        <v>124</v>
      </c>
      <c r="E59" s="55" t="n">
        <v>78569.4891832624</v>
      </c>
      <c r="F59" s="55" t="n">
        <v>43918.5810670848</v>
      </c>
      <c r="G59" s="56" t="n">
        <v>-34650.9081161776</v>
      </c>
      <c r="H59" s="57" t="n">
        <v>-0.441022443653093</v>
      </c>
      <c r="I59" s="58" t="s">
        <v>15</v>
      </c>
    </row>
    <row r="60" customFormat="false" ht="15" hidden="false" customHeight="true" outlineLevel="0" collapsed="false">
      <c r="A60" s="37" t="s">
        <v>139</v>
      </c>
      <c r="B60" s="38" t="s">
        <v>140</v>
      </c>
      <c r="C60" s="38" t="s">
        <v>141</v>
      </c>
      <c r="D60" s="38" t="s">
        <v>142</v>
      </c>
      <c r="E60" s="39" t="n">
        <v>0</v>
      </c>
      <c r="F60" s="39" t="n">
        <v>0</v>
      </c>
      <c r="G60" s="39" t="n">
        <v>0</v>
      </c>
      <c r="H60" s="40"/>
      <c r="I60" s="37" t="s">
        <v>18</v>
      </c>
    </row>
    <row r="61" customFormat="false" ht="15" hidden="false" customHeight="true" outlineLevel="0" collapsed="false">
      <c r="A61" s="53" t="s">
        <v>139</v>
      </c>
      <c r="B61" s="54" t="s">
        <v>143</v>
      </c>
      <c r="C61" s="54" t="s">
        <v>141</v>
      </c>
      <c r="D61" s="54" t="s">
        <v>142</v>
      </c>
      <c r="E61" s="55" t="n">
        <v>17096.6870977143</v>
      </c>
      <c r="F61" s="55" t="n">
        <v>4874.67487471429</v>
      </c>
      <c r="G61" s="56" t="n">
        <v>-12222.012223</v>
      </c>
      <c r="H61" s="57" t="n">
        <v>-0.714876054825499</v>
      </c>
      <c r="I61" s="58" t="s">
        <v>15</v>
      </c>
    </row>
    <row r="62" customFormat="false" ht="15" hidden="false" customHeight="true" outlineLevel="0" collapsed="false">
      <c r="A62" s="53" t="s">
        <v>139</v>
      </c>
      <c r="B62" s="54" t="s">
        <v>144</v>
      </c>
      <c r="C62" s="54" t="s">
        <v>141</v>
      </c>
      <c r="D62" s="54" t="s">
        <v>142</v>
      </c>
      <c r="E62" s="55" t="n">
        <v>43923.6439226667</v>
      </c>
      <c r="F62" s="55" t="n">
        <v>23711.1237101667</v>
      </c>
      <c r="G62" s="56" t="n">
        <v>-20212.5202125</v>
      </c>
      <c r="H62" s="57" t="n">
        <v>-0.460174029460916</v>
      </c>
      <c r="I62" s="58" t="s">
        <v>15</v>
      </c>
    </row>
    <row r="63" customFormat="false" ht="15" hidden="false" customHeight="true" outlineLevel="0" collapsed="false">
      <c r="A63" s="31" t="s">
        <v>145</v>
      </c>
      <c r="B63" s="32" t="s">
        <v>146</v>
      </c>
      <c r="C63" s="32" t="s">
        <v>141</v>
      </c>
      <c r="D63" s="32" t="s">
        <v>142</v>
      </c>
      <c r="E63" s="33" t="n">
        <v>0</v>
      </c>
      <c r="F63" s="33" t="n">
        <v>31027.531026</v>
      </c>
      <c r="G63" s="34" t="n">
        <v>31027.531026</v>
      </c>
      <c r="H63" s="35"/>
      <c r="I63" s="36" t="s">
        <v>16</v>
      </c>
    </row>
    <row r="64" customFormat="false" ht="15" hidden="false" customHeight="true" outlineLevel="0" collapsed="false">
      <c r="A64" s="41" t="s">
        <v>147</v>
      </c>
      <c r="B64" s="42" t="s">
        <v>148</v>
      </c>
      <c r="C64" s="42" t="s">
        <v>149</v>
      </c>
      <c r="D64" s="42" t="s">
        <v>150</v>
      </c>
      <c r="E64" s="43" t="n">
        <v>4886.77430539502</v>
      </c>
      <c r="F64" s="43" t="n">
        <v>16384.1035260127</v>
      </c>
      <c r="G64" s="44" t="n">
        <v>11497.3292206176</v>
      </c>
      <c r="H64" s="45" t="n">
        <v>2.35274406021259</v>
      </c>
      <c r="I64" s="46" t="s">
        <v>14</v>
      </c>
    </row>
    <row r="65" customFormat="false" ht="15" hidden="false" customHeight="true" outlineLevel="0" collapsed="false">
      <c r="A65" s="31" t="s">
        <v>147</v>
      </c>
      <c r="B65" s="32" t="s">
        <v>49</v>
      </c>
      <c r="C65" s="32" t="s">
        <v>49</v>
      </c>
      <c r="D65" s="32" t="s">
        <v>49</v>
      </c>
      <c r="E65" s="33" t="n">
        <v>0</v>
      </c>
      <c r="F65" s="33" t="n">
        <v>2818.72172842</v>
      </c>
      <c r="G65" s="34" t="n">
        <v>2818.72172842</v>
      </c>
      <c r="H65" s="35"/>
      <c r="I65" s="36" t="s">
        <v>16</v>
      </c>
    </row>
    <row r="66" customFormat="false" ht="15" hidden="false" customHeight="true" outlineLevel="0" collapsed="false">
      <c r="A66" s="41" t="s">
        <v>147</v>
      </c>
      <c r="B66" s="42" t="s">
        <v>151</v>
      </c>
      <c r="C66" s="42" t="s">
        <v>152</v>
      </c>
      <c r="D66" s="42" t="s">
        <v>153</v>
      </c>
      <c r="E66" s="43" t="n">
        <v>5062.2777096646</v>
      </c>
      <c r="F66" s="43" t="n">
        <v>7048.36231308687</v>
      </c>
      <c r="G66" s="44" t="n">
        <v>1986.08460342227</v>
      </c>
      <c r="H66" s="45" t="n">
        <v>0.392330234990972</v>
      </c>
      <c r="I66" s="46" t="s">
        <v>14</v>
      </c>
    </row>
    <row r="67" customFormat="false" ht="15" hidden="false" customHeight="true" outlineLevel="0" collapsed="false">
      <c r="A67" s="37" t="s">
        <v>147</v>
      </c>
      <c r="B67" s="38" t="s">
        <v>154</v>
      </c>
      <c r="C67" s="38" t="s">
        <v>155</v>
      </c>
      <c r="D67" s="38" t="s">
        <v>156</v>
      </c>
      <c r="E67" s="39" t="n">
        <v>0</v>
      </c>
      <c r="F67" s="39" t="n">
        <v>0</v>
      </c>
      <c r="G67" s="39" t="n">
        <v>0</v>
      </c>
      <c r="H67" s="40"/>
      <c r="I67" s="37" t="s">
        <v>18</v>
      </c>
    </row>
    <row r="68" customFormat="false" ht="15" hidden="false" customHeight="true" outlineLevel="0" collapsed="false">
      <c r="A68" s="47" t="s">
        <v>147</v>
      </c>
      <c r="B68" s="48" t="s">
        <v>157</v>
      </c>
      <c r="C68" s="48" t="s">
        <v>158</v>
      </c>
      <c r="D68" s="48" t="s">
        <v>156</v>
      </c>
      <c r="E68" s="49" t="n">
        <v>986.370986666667</v>
      </c>
      <c r="F68" s="49" t="n">
        <v>0</v>
      </c>
      <c r="G68" s="50" t="n">
        <v>-986.370986666667</v>
      </c>
      <c r="H68" s="51" t="n">
        <v>-1</v>
      </c>
      <c r="I68" s="52" t="s">
        <v>17</v>
      </c>
    </row>
    <row r="69" customFormat="false" ht="15" hidden="false" customHeight="true" outlineLevel="0" collapsed="false">
      <c r="A69" s="53" t="s">
        <v>147</v>
      </c>
      <c r="B69" s="54" t="s">
        <v>159</v>
      </c>
      <c r="C69" s="54" t="s">
        <v>160</v>
      </c>
      <c r="D69" s="54" t="s">
        <v>156</v>
      </c>
      <c r="E69" s="55" t="n">
        <v>14904.3028170615</v>
      </c>
      <c r="F69" s="55" t="n">
        <v>6623.556762249</v>
      </c>
      <c r="G69" s="56" t="n">
        <v>-8280.74605481248</v>
      </c>
      <c r="H69" s="57" t="n">
        <v>-0.5555943244345</v>
      </c>
      <c r="I69" s="58" t="s">
        <v>15</v>
      </c>
    </row>
    <row r="70" customFormat="false" ht="15" hidden="false" customHeight="true" outlineLevel="0" collapsed="false">
      <c r="A70" s="53" t="s">
        <v>147</v>
      </c>
      <c r="B70" s="54" t="s">
        <v>161</v>
      </c>
      <c r="C70" s="54" t="s">
        <v>162</v>
      </c>
      <c r="D70" s="54" t="s">
        <v>156</v>
      </c>
      <c r="E70" s="55" t="n">
        <v>30801.3507647661</v>
      </c>
      <c r="F70" s="55" t="n">
        <v>18649.0497142723</v>
      </c>
      <c r="G70" s="56" t="n">
        <v>-12152.3010504938</v>
      </c>
      <c r="H70" s="57" t="n">
        <v>-0.394537926057287</v>
      </c>
      <c r="I70" s="58" t="s">
        <v>15</v>
      </c>
    </row>
    <row r="71" customFormat="false" ht="15" hidden="false" customHeight="true" outlineLevel="0" collapsed="false">
      <c r="A71" s="47" t="s">
        <v>147</v>
      </c>
      <c r="B71" s="48" t="s">
        <v>163</v>
      </c>
      <c r="C71" s="48" t="s">
        <v>164</v>
      </c>
      <c r="D71" s="48" t="s">
        <v>150</v>
      </c>
      <c r="E71" s="49" t="n">
        <v>12994.1093688</v>
      </c>
      <c r="F71" s="49" t="n">
        <v>0</v>
      </c>
      <c r="G71" s="50" t="n">
        <v>-12994.1093688</v>
      </c>
      <c r="H71" s="51" t="n">
        <v>-1</v>
      </c>
      <c r="I71" s="52" t="s">
        <v>17</v>
      </c>
    </row>
    <row r="72" customFormat="false" ht="15" hidden="false" customHeight="true" outlineLevel="0" collapsed="false">
      <c r="A72" s="31" t="s">
        <v>165</v>
      </c>
      <c r="B72" s="32" t="s">
        <v>166</v>
      </c>
      <c r="C72" s="32" t="s">
        <v>167</v>
      </c>
      <c r="D72" s="32" t="s">
        <v>168</v>
      </c>
      <c r="E72" s="33" t="n">
        <v>0</v>
      </c>
      <c r="F72" s="33" t="n">
        <v>6877.91304366667</v>
      </c>
      <c r="G72" s="34" t="n">
        <v>6877.91304366667</v>
      </c>
      <c r="H72" s="35"/>
      <c r="I72" s="36" t="s">
        <v>16</v>
      </c>
    </row>
    <row r="73" customFormat="false" ht="15" hidden="false" customHeight="true" outlineLevel="0" collapsed="false">
      <c r="A73" s="31" t="s">
        <v>169</v>
      </c>
      <c r="B73" s="32" t="s">
        <v>170</v>
      </c>
      <c r="C73" s="32" t="s">
        <v>171</v>
      </c>
      <c r="D73" s="32" t="s">
        <v>172</v>
      </c>
      <c r="E73" s="33" t="n">
        <v>0</v>
      </c>
      <c r="F73" s="33" t="n">
        <v>26233.6134465882</v>
      </c>
      <c r="G73" s="34" t="n">
        <v>26233.6134465882</v>
      </c>
      <c r="H73" s="35"/>
      <c r="I73" s="36" t="s">
        <v>16</v>
      </c>
    </row>
    <row r="74" customFormat="false" ht="15" hidden="false" customHeight="true" outlineLevel="0" collapsed="false">
      <c r="A74" s="31" t="s">
        <v>169</v>
      </c>
      <c r="B74" s="32" t="s">
        <v>173</v>
      </c>
      <c r="C74" s="32" t="s">
        <v>174</v>
      </c>
      <c r="D74" s="32" t="s">
        <v>175</v>
      </c>
      <c r="E74" s="33" t="n">
        <v>0</v>
      </c>
      <c r="F74" s="33" t="n">
        <v>19712.3456788459</v>
      </c>
      <c r="G74" s="34" t="n">
        <v>19712.3456788459</v>
      </c>
      <c r="H74" s="35"/>
      <c r="I74" s="36" t="s">
        <v>16</v>
      </c>
    </row>
    <row r="75" customFormat="false" ht="15" hidden="false" customHeight="true" outlineLevel="0" collapsed="false">
      <c r="A75" s="31" t="s">
        <v>169</v>
      </c>
      <c r="B75" s="32" t="s">
        <v>176</v>
      </c>
      <c r="C75" s="32" t="s">
        <v>177</v>
      </c>
      <c r="D75" s="32" t="s">
        <v>175</v>
      </c>
      <c r="E75" s="33" t="n">
        <v>0</v>
      </c>
      <c r="F75" s="33" t="n">
        <v>9285.714286</v>
      </c>
      <c r="G75" s="34" t="n">
        <v>9285.714286</v>
      </c>
      <c r="H75" s="35"/>
      <c r="I75" s="36" t="s">
        <v>16</v>
      </c>
    </row>
    <row r="76" customFormat="false" ht="15" hidden="false" customHeight="true" outlineLevel="0" collapsed="false">
      <c r="A76" s="31" t="s">
        <v>169</v>
      </c>
      <c r="B76" s="32" t="s">
        <v>178</v>
      </c>
      <c r="C76" s="32" t="s">
        <v>179</v>
      </c>
      <c r="D76" s="32" t="s">
        <v>180</v>
      </c>
      <c r="E76" s="33" t="n">
        <v>0</v>
      </c>
      <c r="F76" s="33" t="n">
        <v>8293.44531499412</v>
      </c>
      <c r="G76" s="34" t="n">
        <v>8293.44531499412</v>
      </c>
      <c r="H76" s="35"/>
      <c r="I76" s="36" t="s">
        <v>16</v>
      </c>
    </row>
    <row r="77" customFormat="false" ht="15" hidden="false" customHeight="true" outlineLevel="0" collapsed="false">
      <c r="A77" s="41" t="s">
        <v>169</v>
      </c>
      <c r="B77" s="42" t="s">
        <v>181</v>
      </c>
      <c r="C77" s="42" t="s">
        <v>182</v>
      </c>
      <c r="D77" s="42" t="s">
        <v>180</v>
      </c>
      <c r="E77" s="43" t="n">
        <v>404.7619048</v>
      </c>
      <c r="F77" s="43" t="n">
        <v>8458.75515581102</v>
      </c>
      <c r="G77" s="44" t="n">
        <v>8053.99325101103</v>
      </c>
      <c r="H77" s="45" t="n">
        <v>19.8981009712133</v>
      </c>
      <c r="I77" s="46" t="s">
        <v>14</v>
      </c>
    </row>
    <row r="78" customFormat="false" ht="15" hidden="false" customHeight="true" outlineLevel="0" collapsed="false">
      <c r="A78" s="31" t="s">
        <v>169</v>
      </c>
      <c r="B78" s="32" t="s">
        <v>183</v>
      </c>
      <c r="C78" s="32" t="s">
        <v>174</v>
      </c>
      <c r="D78" s="32" t="s">
        <v>175</v>
      </c>
      <c r="E78" s="33" t="n">
        <v>0</v>
      </c>
      <c r="F78" s="33" t="n">
        <v>5714.28571489655</v>
      </c>
      <c r="G78" s="34" t="n">
        <v>5714.28571489655</v>
      </c>
      <c r="H78" s="35"/>
      <c r="I78" s="36" t="s">
        <v>16</v>
      </c>
    </row>
    <row r="79" customFormat="false" ht="15" hidden="false" customHeight="true" outlineLevel="0" collapsed="false">
      <c r="A79" s="31" t="s">
        <v>169</v>
      </c>
      <c r="B79" s="32" t="s">
        <v>184</v>
      </c>
      <c r="C79" s="32" t="s">
        <v>179</v>
      </c>
      <c r="D79" s="32" t="s">
        <v>180</v>
      </c>
      <c r="E79" s="33" t="n">
        <v>0</v>
      </c>
      <c r="F79" s="33" t="n">
        <v>4625.07122462393</v>
      </c>
      <c r="G79" s="34" t="n">
        <v>4625.07122462393</v>
      </c>
      <c r="H79" s="35"/>
      <c r="I79" s="36" t="s">
        <v>16</v>
      </c>
    </row>
    <row r="80" customFormat="false" ht="15" hidden="false" customHeight="true" outlineLevel="0" collapsed="false">
      <c r="A80" s="41" t="s">
        <v>169</v>
      </c>
      <c r="B80" s="42" t="s">
        <v>49</v>
      </c>
      <c r="C80" s="42" t="s">
        <v>49</v>
      </c>
      <c r="D80" s="42" t="s">
        <v>49</v>
      </c>
      <c r="E80" s="43" t="n">
        <v>708.322042461431</v>
      </c>
      <c r="F80" s="43" t="n">
        <v>1959.29992624857</v>
      </c>
      <c r="G80" s="44" t="n">
        <v>1250.97788378714</v>
      </c>
      <c r="H80" s="45" t="n">
        <v>1.76611457613259</v>
      </c>
      <c r="I80" s="46" t="s">
        <v>14</v>
      </c>
    </row>
    <row r="81" customFormat="false" ht="15" hidden="false" customHeight="true" outlineLevel="0" collapsed="false">
      <c r="A81" s="41" t="s">
        <v>169</v>
      </c>
      <c r="B81" s="42" t="s">
        <v>185</v>
      </c>
      <c r="C81" s="42" t="s">
        <v>174</v>
      </c>
      <c r="D81" s="42" t="s">
        <v>175</v>
      </c>
      <c r="E81" s="43" t="n">
        <v>8428.57142980488</v>
      </c>
      <c r="F81" s="43" t="n">
        <v>9547.1124624219</v>
      </c>
      <c r="G81" s="44" t="n">
        <v>1118.54103261702</v>
      </c>
      <c r="H81" s="45" t="n">
        <v>0.132708258087684</v>
      </c>
      <c r="I81" s="46" t="s">
        <v>14</v>
      </c>
    </row>
    <row r="82" customFormat="false" ht="15" hidden="false" customHeight="true" outlineLevel="0" collapsed="false">
      <c r="A82" s="31" t="s">
        <v>169</v>
      </c>
      <c r="B82" s="32" t="s">
        <v>186</v>
      </c>
      <c r="C82" s="32" t="s">
        <v>187</v>
      </c>
      <c r="D82" s="32" t="s">
        <v>172</v>
      </c>
      <c r="E82" s="33" t="n">
        <v>0</v>
      </c>
      <c r="F82" s="33" t="n">
        <v>814.117647211765</v>
      </c>
      <c r="G82" s="34" t="n">
        <v>814.117647211765</v>
      </c>
      <c r="H82" s="35"/>
      <c r="I82" s="36" t="s">
        <v>16</v>
      </c>
    </row>
    <row r="83" customFormat="false" ht="15" hidden="false" customHeight="true" outlineLevel="0" collapsed="false">
      <c r="A83" s="37" t="s">
        <v>169</v>
      </c>
      <c r="B83" s="38" t="s">
        <v>188</v>
      </c>
      <c r="C83" s="38" t="s">
        <v>189</v>
      </c>
      <c r="D83" s="38" t="s">
        <v>172</v>
      </c>
      <c r="E83" s="39" t="n">
        <v>18708.9947078889</v>
      </c>
      <c r="F83" s="39" t="n">
        <v>18708.9947078889</v>
      </c>
      <c r="G83" s="39" t="n">
        <v>0</v>
      </c>
      <c r="H83" s="40" t="n">
        <v>0</v>
      </c>
      <c r="I83" s="37" t="s">
        <v>18</v>
      </c>
    </row>
    <row r="84" customFormat="false" ht="15" hidden="false" customHeight="true" outlineLevel="0" collapsed="false">
      <c r="A84" s="37" t="s">
        <v>169</v>
      </c>
      <c r="B84" s="38" t="s">
        <v>190</v>
      </c>
      <c r="C84" s="38" t="s">
        <v>179</v>
      </c>
      <c r="D84" s="38" t="s">
        <v>180</v>
      </c>
      <c r="E84" s="39" t="n">
        <v>4452.38095231818</v>
      </c>
      <c r="F84" s="39" t="n">
        <v>4452.38095231818</v>
      </c>
      <c r="G84" s="39" t="n">
        <v>0</v>
      </c>
      <c r="H84" s="40" t="n">
        <v>0</v>
      </c>
      <c r="I84" s="37" t="s">
        <v>18</v>
      </c>
    </row>
    <row r="85" customFormat="false" ht="15" hidden="false" customHeight="true" outlineLevel="0" collapsed="false">
      <c r="A85" s="37" t="s">
        <v>169</v>
      </c>
      <c r="B85" s="38" t="s">
        <v>191</v>
      </c>
      <c r="C85" s="38" t="s">
        <v>187</v>
      </c>
      <c r="D85" s="38" t="s">
        <v>172</v>
      </c>
      <c r="E85" s="39" t="n">
        <v>26313.7480817097</v>
      </c>
      <c r="F85" s="39" t="n">
        <v>26313.7480817097</v>
      </c>
      <c r="G85" s="39" t="n">
        <v>0</v>
      </c>
      <c r="H85" s="40" t="n">
        <v>0</v>
      </c>
      <c r="I85" s="37" t="s">
        <v>18</v>
      </c>
    </row>
    <row r="86" customFormat="false" ht="15" hidden="false" customHeight="true" outlineLevel="0" collapsed="false">
      <c r="A86" s="37" t="s">
        <v>169</v>
      </c>
      <c r="B86" s="38" t="s">
        <v>192</v>
      </c>
      <c r="C86" s="38" t="s">
        <v>193</v>
      </c>
      <c r="D86" s="38" t="s">
        <v>172</v>
      </c>
      <c r="E86" s="39" t="n">
        <v>89.4180775555556</v>
      </c>
      <c r="F86" s="39" t="n">
        <v>89.4180775555556</v>
      </c>
      <c r="G86" s="39" t="n">
        <v>0</v>
      </c>
      <c r="H86" s="40" t="n">
        <v>0</v>
      </c>
      <c r="I86" s="37" t="s">
        <v>18</v>
      </c>
    </row>
    <row r="87" customFormat="false" ht="15" hidden="false" customHeight="true" outlineLevel="0" collapsed="false">
      <c r="A87" s="37" t="s">
        <v>169</v>
      </c>
      <c r="B87" s="38" t="s">
        <v>194</v>
      </c>
      <c r="C87" s="38" t="s">
        <v>171</v>
      </c>
      <c r="D87" s="38" t="s">
        <v>172</v>
      </c>
      <c r="E87" s="39" t="n">
        <v>21525.9740252727</v>
      </c>
      <c r="F87" s="39" t="n">
        <v>21525.9740252727</v>
      </c>
      <c r="G87" s="39" t="n">
        <v>0</v>
      </c>
      <c r="H87" s="40" t="n">
        <v>0</v>
      </c>
      <c r="I87" s="37" t="s">
        <v>18</v>
      </c>
    </row>
    <row r="88" customFormat="false" ht="15" hidden="false" customHeight="true" outlineLevel="0" collapsed="false">
      <c r="A88" s="37" t="s">
        <v>169</v>
      </c>
      <c r="B88" s="38" t="s">
        <v>195</v>
      </c>
      <c r="C88" s="38" t="s">
        <v>196</v>
      </c>
      <c r="D88" s="38" t="s">
        <v>180</v>
      </c>
      <c r="E88" s="39" t="n">
        <v>19272.0551392895</v>
      </c>
      <c r="F88" s="39" t="n">
        <v>19272.0551392895</v>
      </c>
      <c r="G88" s="39" t="n">
        <v>0</v>
      </c>
      <c r="H88" s="40" t="n">
        <v>0</v>
      </c>
      <c r="I88" s="37" t="s">
        <v>18</v>
      </c>
    </row>
    <row r="89" customFormat="false" ht="15" hidden="false" customHeight="true" outlineLevel="0" collapsed="false">
      <c r="A89" s="37" t="s">
        <v>169</v>
      </c>
      <c r="B89" s="38" t="s">
        <v>197</v>
      </c>
      <c r="C89" s="38" t="s">
        <v>174</v>
      </c>
      <c r="D89" s="38" t="s">
        <v>175</v>
      </c>
      <c r="E89" s="39" t="n">
        <v>22277.8378381622</v>
      </c>
      <c r="F89" s="39" t="n">
        <v>22277.8378381622</v>
      </c>
      <c r="G89" s="39" t="n">
        <v>0</v>
      </c>
      <c r="H89" s="40" t="n">
        <v>0</v>
      </c>
      <c r="I89" s="37" t="s">
        <v>18</v>
      </c>
    </row>
    <row r="90" customFormat="false" ht="15" hidden="false" customHeight="true" outlineLevel="0" collapsed="false">
      <c r="A90" s="37" t="s">
        <v>169</v>
      </c>
      <c r="B90" s="38" t="s">
        <v>198</v>
      </c>
      <c r="C90" s="38" t="s">
        <v>199</v>
      </c>
      <c r="D90" s="38" t="s">
        <v>200</v>
      </c>
      <c r="E90" s="39" t="n">
        <v>5529.3714282</v>
      </c>
      <c r="F90" s="39" t="n">
        <v>5529.3714282</v>
      </c>
      <c r="G90" s="39" t="n">
        <v>0</v>
      </c>
      <c r="H90" s="40" t="n">
        <v>0</v>
      </c>
      <c r="I90" s="37" t="s">
        <v>18</v>
      </c>
    </row>
    <row r="91" customFormat="false" ht="15" hidden="false" customHeight="true" outlineLevel="0" collapsed="false">
      <c r="A91" s="37" t="s">
        <v>169</v>
      </c>
      <c r="B91" s="38" t="s">
        <v>201</v>
      </c>
      <c r="C91" s="38" t="s">
        <v>179</v>
      </c>
      <c r="D91" s="38" t="s">
        <v>180</v>
      </c>
      <c r="E91" s="39" t="n">
        <v>4098.5278078855</v>
      </c>
      <c r="F91" s="39" t="n">
        <v>4098.5278078855</v>
      </c>
      <c r="G91" s="39" t="n">
        <v>0</v>
      </c>
      <c r="H91" s="40" t="n">
        <v>0</v>
      </c>
      <c r="I91" s="37" t="s">
        <v>18</v>
      </c>
    </row>
    <row r="92" customFormat="false" ht="15" hidden="false" customHeight="true" outlineLevel="0" collapsed="false">
      <c r="A92" s="37" t="s">
        <v>169</v>
      </c>
      <c r="B92" s="38" t="s">
        <v>202</v>
      </c>
      <c r="C92" s="38" t="s">
        <v>203</v>
      </c>
      <c r="D92" s="38" t="s">
        <v>204</v>
      </c>
      <c r="E92" s="39" t="n">
        <v>747.619047666667</v>
      </c>
      <c r="F92" s="39" t="n">
        <v>747.619047666667</v>
      </c>
      <c r="G92" s="39" t="n">
        <v>0</v>
      </c>
      <c r="H92" s="40" t="n">
        <v>0</v>
      </c>
      <c r="I92" s="37" t="s">
        <v>18</v>
      </c>
    </row>
    <row r="93" customFormat="false" ht="15" hidden="false" customHeight="true" outlineLevel="0" collapsed="false">
      <c r="A93" s="37" t="s">
        <v>169</v>
      </c>
      <c r="B93" s="38" t="s">
        <v>205</v>
      </c>
      <c r="C93" s="38" t="s">
        <v>196</v>
      </c>
      <c r="D93" s="38" t="s">
        <v>180</v>
      </c>
      <c r="E93" s="39" t="n">
        <v>0</v>
      </c>
      <c r="F93" s="39" t="n">
        <v>0</v>
      </c>
      <c r="G93" s="39" t="n">
        <v>0</v>
      </c>
      <c r="H93" s="40"/>
      <c r="I93" s="37" t="s">
        <v>18</v>
      </c>
    </row>
    <row r="94" customFormat="false" ht="15" hidden="false" customHeight="true" outlineLevel="0" collapsed="false">
      <c r="A94" s="37" t="s">
        <v>169</v>
      </c>
      <c r="B94" s="38" t="s">
        <v>206</v>
      </c>
      <c r="C94" s="38" t="s">
        <v>174</v>
      </c>
      <c r="D94" s="38" t="s">
        <v>175</v>
      </c>
      <c r="E94" s="39" t="n">
        <v>18514.2857152</v>
      </c>
      <c r="F94" s="39" t="n">
        <v>18514.2857152</v>
      </c>
      <c r="G94" s="39" t="n">
        <v>0</v>
      </c>
      <c r="H94" s="40" t="n">
        <v>0</v>
      </c>
      <c r="I94" s="37" t="s">
        <v>18</v>
      </c>
    </row>
    <row r="95" customFormat="false" ht="15" hidden="false" customHeight="true" outlineLevel="0" collapsed="false">
      <c r="A95" s="37" t="s">
        <v>169</v>
      </c>
      <c r="B95" s="38" t="s">
        <v>207</v>
      </c>
      <c r="C95" s="38" t="s">
        <v>174</v>
      </c>
      <c r="D95" s="38" t="s">
        <v>175</v>
      </c>
      <c r="E95" s="39" t="n">
        <v>0</v>
      </c>
      <c r="F95" s="39" t="n">
        <v>0</v>
      </c>
      <c r="G95" s="39" t="n">
        <v>0</v>
      </c>
      <c r="H95" s="40"/>
      <c r="I95" s="37" t="s">
        <v>18</v>
      </c>
    </row>
    <row r="96" customFormat="false" ht="15" hidden="false" customHeight="true" outlineLevel="0" collapsed="false">
      <c r="A96" s="37" t="s">
        <v>169</v>
      </c>
      <c r="B96" s="38" t="s">
        <v>208</v>
      </c>
      <c r="C96" s="38" t="s">
        <v>171</v>
      </c>
      <c r="D96" s="38" t="s">
        <v>172</v>
      </c>
      <c r="E96" s="39" t="n">
        <v>178.571428666667</v>
      </c>
      <c r="F96" s="39" t="n">
        <v>178.571428666667</v>
      </c>
      <c r="G96" s="39" t="n">
        <v>-2.8421709430404E-014</v>
      </c>
      <c r="H96" s="40" t="n">
        <v>-1.59161572725376E-016</v>
      </c>
      <c r="I96" s="37" t="s">
        <v>18</v>
      </c>
    </row>
    <row r="97" customFormat="false" ht="15" hidden="false" customHeight="true" outlineLevel="0" collapsed="false">
      <c r="A97" s="37" t="s">
        <v>169</v>
      </c>
      <c r="B97" s="38" t="s">
        <v>209</v>
      </c>
      <c r="C97" s="38" t="s">
        <v>174</v>
      </c>
      <c r="D97" s="38" t="s">
        <v>175</v>
      </c>
      <c r="E97" s="39" t="n">
        <v>1260.38961054546</v>
      </c>
      <c r="F97" s="39" t="n">
        <v>1260.38961054546</v>
      </c>
      <c r="G97" s="39" t="n">
        <v>-2.27373675443232E-013</v>
      </c>
      <c r="H97" s="40" t="n">
        <v>-1.80399515785307E-016</v>
      </c>
      <c r="I97" s="37" t="s">
        <v>18</v>
      </c>
    </row>
    <row r="98" customFormat="false" ht="15" hidden="false" customHeight="true" outlineLevel="0" collapsed="false">
      <c r="A98" s="47" t="s">
        <v>169</v>
      </c>
      <c r="B98" s="48" t="s">
        <v>210</v>
      </c>
      <c r="C98" s="48" t="s">
        <v>211</v>
      </c>
      <c r="D98" s="48" t="s">
        <v>172</v>
      </c>
      <c r="E98" s="49" t="n">
        <v>2914.285715</v>
      </c>
      <c r="F98" s="49" t="n">
        <v>0</v>
      </c>
      <c r="G98" s="50" t="n">
        <v>-2914.285715</v>
      </c>
      <c r="H98" s="51" t="n">
        <v>-1</v>
      </c>
      <c r="I98" s="52" t="s">
        <v>17</v>
      </c>
    </row>
    <row r="99" customFormat="false" ht="15" hidden="false" customHeight="true" outlineLevel="0" collapsed="false">
      <c r="A99" s="53" t="s">
        <v>169</v>
      </c>
      <c r="B99" s="54" t="s">
        <v>212</v>
      </c>
      <c r="C99" s="54" t="s">
        <v>177</v>
      </c>
      <c r="D99" s="54" t="s">
        <v>175</v>
      </c>
      <c r="E99" s="55" t="n">
        <v>11357.1428570203</v>
      </c>
      <c r="F99" s="55" t="n">
        <v>5678.57142851214</v>
      </c>
      <c r="G99" s="56" t="n">
        <v>-5678.57142850814</v>
      </c>
      <c r="H99" s="57" t="n">
        <v>-0.499999999999824</v>
      </c>
      <c r="I99" s="58" t="s">
        <v>15</v>
      </c>
    </row>
    <row r="100" customFormat="false" ht="15" hidden="false" customHeight="true" outlineLevel="0" collapsed="false">
      <c r="A100" s="53" t="s">
        <v>169</v>
      </c>
      <c r="B100" s="54" t="s">
        <v>213</v>
      </c>
      <c r="C100" s="54" t="s">
        <v>174</v>
      </c>
      <c r="D100" s="54" t="s">
        <v>175</v>
      </c>
      <c r="E100" s="55" t="n">
        <v>19365.0793657778</v>
      </c>
      <c r="F100" s="55" t="n">
        <v>9682.53968288889</v>
      </c>
      <c r="G100" s="56" t="n">
        <v>-9682.53968288889</v>
      </c>
      <c r="H100" s="57" t="n">
        <v>-0.5</v>
      </c>
      <c r="I100" s="58" t="s">
        <v>15</v>
      </c>
    </row>
    <row r="101" customFormat="false" ht="15" hidden="false" customHeight="true" outlineLevel="0" collapsed="false">
      <c r="A101" s="53" t="s">
        <v>169</v>
      </c>
      <c r="B101" s="54" t="s">
        <v>214</v>
      </c>
      <c r="C101" s="54" t="s">
        <v>189</v>
      </c>
      <c r="D101" s="54" t="s">
        <v>172</v>
      </c>
      <c r="E101" s="55" t="n">
        <v>40494.6408155239</v>
      </c>
      <c r="F101" s="55" t="n">
        <v>11408.9265274484</v>
      </c>
      <c r="G101" s="56" t="n">
        <v>-29085.7142880755</v>
      </c>
      <c r="H101" s="57" t="n">
        <v>-0.718260829144712</v>
      </c>
      <c r="I101" s="58" t="s">
        <v>15</v>
      </c>
    </row>
    <row r="102" customFormat="false" ht="15" hidden="false" customHeight="true" outlineLevel="0" collapsed="false">
      <c r="A102" s="31" t="s">
        <v>215</v>
      </c>
      <c r="B102" s="32" t="s">
        <v>216</v>
      </c>
      <c r="C102" s="32" t="s">
        <v>217</v>
      </c>
      <c r="D102" s="32" t="s">
        <v>218</v>
      </c>
      <c r="E102" s="33" t="n">
        <v>0</v>
      </c>
      <c r="F102" s="33" t="n">
        <v>3381.00338097959</v>
      </c>
      <c r="G102" s="34" t="n">
        <v>3381.00338097959</v>
      </c>
      <c r="H102" s="35"/>
      <c r="I102" s="36" t="s">
        <v>16</v>
      </c>
    </row>
    <row r="103" customFormat="false" ht="15" hidden="false" customHeight="true" outlineLevel="0" collapsed="false">
      <c r="A103" s="41" t="s">
        <v>215</v>
      </c>
      <c r="B103" s="42" t="s">
        <v>219</v>
      </c>
      <c r="C103" s="42" t="s">
        <v>220</v>
      </c>
      <c r="D103" s="42" t="s">
        <v>218</v>
      </c>
      <c r="E103" s="43" t="n">
        <v>2586.98480924444</v>
      </c>
      <c r="F103" s="43" t="n">
        <v>3809.45903169845</v>
      </c>
      <c r="G103" s="44" t="n">
        <v>1222.474222454</v>
      </c>
      <c r="H103" s="45" t="n">
        <v>0.47254789362719</v>
      </c>
      <c r="I103" s="46" t="s">
        <v>14</v>
      </c>
    </row>
    <row r="104" customFormat="false" ht="15" hidden="false" customHeight="true" outlineLevel="0" collapsed="false">
      <c r="A104" s="31" t="s">
        <v>215</v>
      </c>
      <c r="B104" s="32" t="s">
        <v>49</v>
      </c>
      <c r="C104" s="32" t="s">
        <v>49</v>
      </c>
      <c r="D104" s="32" t="s">
        <v>49</v>
      </c>
      <c r="E104" s="33" t="n">
        <v>0</v>
      </c>
      <c r="F104" s="33" t="n">
        <v>1041.39448393443</v>
      </c>
      <c r="G104" s="34" t="n">
        <v>1041.39448393443</v>
      </c>
      <c r="H104" s="35"/>
      <c r="I104" s="36" t="s">
        <v>16</v>
      </c>
    </row>
    <row r="105" customFormat="false" ht="15" hidden="false" customHeight="true" outlineLevel="0" collapsed="false">
      <c r="A105" s="37" t="s">
        <v>215</v>
      </c>
      <c r="B105" s="38" t="s">
        <v>221</v>
      </c>
      <c r="C105" s="38" t="s">
        <v>217</v>
      </c>
      <c r="D105" s="38" t="s">
        <v>218</v>
      </c>
      <c r="E105" s="39" t="n">
        <v>6197.33953</v>
      </c>
      <c r="F105" s="39" t="n">
        <v>6197.33953</v>
      </c>
      <c r="G105" s="39" t="n">
        <v>0</v>
      </c>
      <c r="H105" s="40" t="n">
        <v>0</v>
      </c>
      <c r="I105" s="37" t="s">
        <v>18</v>
      </c>
    </row>
    <row r="106" customFormat="false" ht="15" hidden="false" customHeight="true" outlineLevel="0" collapsed="false">
      <c r="A106" s="37" t="s">
        <v>215</v>
      </c>
      <c r="B106" s="38" t="s">
        <v>222</v>
      </c>
      <c r="C106" s="38" t="s">
        <v>220</v>
      </c>
      <c r="D106" s="38" t="s">
        <v>218</v>
      </c>
      <c r="E106" s="39" t="n">
        <v>0</v>
      </c>
      <c r="F106" s="39" t="n">
        <v>0</v>
      </c>
      <c r="G106" s="39" t="n">
        <v>0</v>
      </c>
      <c r="H106" s="40"/>
      <c r="I106" s="37" t="s">
        <v>18</v>
      </c>
    </row>
    <row r="107" customFormat="false" ht="15" hidden="false" customHeight="true" outlineLevel="0" collapsed="false">
      <c r="A107" s="37" t="s">
        <v>223</v>
      </c>
      <c r="B107" s="38" t="s">
        <v>49</v>
      </c>
      <c r="C107" s="38" t="s">
        <v>49</v>
      </c>
      <c r="D107" s="38" t="s">
        <v>49</v>
      </c>
      <c r="E107" s="39" t="n">
        <v>0</v>
      </c>
      <c r="F107" s="39" t="n">
        <v>0</v>
      </c>
      <c r="G107" s="39" t="n">
        <v>0</v>
      </c>
      <c r="H107" s="40"/>
      <c r="I107" s="37" t="s">
        <v>18</v>
      </c>
    </row>
    <row r="108" customFormat="false" ht="15" hidden="false" customHeight="true" outlineLevel="0" collapsed="false">
      <c r="A108" s="41" t="s">
        <v>224</v>
      </c>
      <c r="B108" s="42" t="s">
        <v>225</v>
      </c>
      <c r="C108" s="42" t="s">
        <v>226</v>
      </c>
      <c r="D108" s="42" t="s">
        <v>227</v>
      </c>
      <c r="E108" s="43" t="n">
        <v>2516.76094151316</v>
      </c>
      <c r="F108" s="43" t="n">
        <v>2519.929341875</v>
      </c>
      <c r="G108" s="44" t="n">
        <v>3.16840036184203</v>
      </c>
      <c r="H108" s="45" t="n">
        <v>0.00125891987180041</v>
      </c>
      <c r="I108" s="46" t="s">
        <v>14</v>
      </c>
    </row>
    <row r="109" customFormat="false" ht="15" hidden="false" customHeight="true" outlineLevel="0" collapsed="false">
      <c r="A109" s="37" t="s">
        <v>224</v>
      </c>
      <c r="B109" s="38" t="s">
        <v>228</v>
      </c>
      <c r="C109" s="38" t="s">
        <v>226</v>
      </c>
      <c r="D109" s="38" t="s">
        <v>227</v>
      </c>
      <c r="E109" s="39" t="n">
        <v>8235.11786011848</v>
      </c>
      <c r="F109" s="39" t="n">
        <v>8235.11786011848</v>
      </c>
      <c r="G109" s="39" t="n">
        <v>0</v>
      </c>
      <c r="H109" s="40" t="n">
        <v>0</v>
      </c>
      <c r="I109" s="37" t="s">
        <v>18</v>
      </c>
    </row>
    <row r="110" customFormat="false" ht="15" hidden="false" customHeight="true" outlineLevel="0" collapsed="false">
      <c r="A110" s="37" t="s">
        <v>224</v>
      </c>
      <c r="B110" s="38" t="s">
        <v>229</v>
      </c>
      <c r="C110" s="38" t="s">
        <v>226</v>
      </c>
      <c r="D110" s="38" t="s">
        <v>227</v>
      </c>
      <c r="E110" s="39" t="n">
        <v>0</v>
      </c>
      <c r="F110" s="39" t="n">
        <v>0</v>
      </c>
      <c r="G110" s="39" t="n">
        <v>0</v>
      </c>
      <c r="H110" s="40"/>
      <c r="I110" s="37" t="s">
        <v>18</v>
      </c>
    </row>
    <row r="111" customFormat="false" ht="15" hidden="false" customHeight="true" outlineLevel="0" collapsed="false">
      <c r="A111" s="53" t="s">
        <v>224</v>
      </c>
      <c r="B111" s="54" t="s">
        <v>230</v>
      </c>
      <c r="C111" s="54" t="s">
        <v>226</v>
      </c>
      <c r="D111" s="54" t="s">
        <v>227</v>
      </c>
      <c r="E111" s="55" t="n">
        <v>12031.6856605928</v>
      </c>
      <c r="F111" s="55" t="n">
        <v>9111.184205</v>
      </c>
      <c r="G111" s="56" t="n">
        <v>-2920.50145559281</v>
      </c>
      <c r="H111" s="57" t="n">
        <v>-0.242734188540039</v>
      </c>
      <c r="I111" s="58" t="s">
        <v>15</v>
      </c>
    </row>
    <row r="112" customFormat="false" ht="15" hidden="false" customHeight="true" outlineLevel="0" collapsed="false">
      <c r="A112" s="53" t="s">
        <v>224</v>
      </c>
      <c r="B112" s="54" t="s">
        <v>49</v>
      </c>
      <c r="C112" s="54" t="s">
        <v>49</v>
      </c>
      <c r="D112" s="54" t="s">
        <v>49</v>
      </c>
      <c r="E112" s="55" t="n">
        <v>17786.4359535729</v>
      </c>
      <c r="F112" s="55" t="n">
        <v>8596.50018082895</v>
      </c>
      <c r="G112" s="56" t="n">
        <v>-9189.93577274399</v>
      </c>
      <c r="H112" s="57" t="n">
        <v>-0.516682251392692</v>
      </c>
      <c r="I112" s="58" t="s">
        <v>15</v>
      </c>
    </row>
    <row r="113" customFormat="false" ht="15" hidden="false" customHeight="true" outlineLevel="0" collapsed="false">
      <c r="A113" s="47" t="s">
        <v>224</v>
      </c>
      <c r="B113" s="48" t="s">
        <v>231</v>
      </c>
      <c r="C113" s="48" t="s">
        <v>226</v>
      </c>
      <c r="D113" s="48" t="s">
        <v>227</v>
      </c>
      <c r="E113" s="49" t="n">
        <v>44404.29108</v>
      </c>
      <c r="F113" s="49" t="n">
        <v>0</v>
      </c>
      <c r="G113" s="50" t="n">
        <v>-44404.29108</v>
      </c>
      <c r="H113" s="51" t="n">
        <v>-1</v>
      </c>
      <c r="I113" s="52" t="s">
        <v>17</v>
      </c>
    </row>
    <row r="114" customFormat="false" ht="15" hidden="false" customHeight="true" outlineLevel="0" collapsed="false">
      <c r="A114" s="41" t="s">
        <v>232</v>
      </c>
      <c r="B114" s="42" t="s">
        <v>49</v>
      </c>
      <c r="C114" s="42" t="s">
        <v>49</v>
      </c>
      <c r="D114" s="42" t="s">
        <v>49</v>
      </c>
      <c r="E114" s="43" t="n">
        <v>9041.37279865437</v>
      </c>
      <c r="F114" s="43" t="n">
        <v>18966.2882207255</v>
      </c>
      <c r="G114" s="44" t="n">
        <v>9924.91542207111</v>
      </c>
      <c r="H114" s="45" t="n">
        <v>1.09772217594525</v>
      </c>
      <c r="I114" s="46" t="s">
        <v>14</v>
      </c>
    </row>
    <row r="115" customFormat="false" ht="15" hidden="false" customHeight="true" outlineLevel="0" collapsed="false">
      <c r="A115" s="31" t="s">
        <v>232</v>
      </c>
      <c r="B115" s="32" t="s">
        <v>233</v>
      </c>
      <c r="C115" s="32" t="s">
        <v>234</v>
      </c>
      <c r="D115" s="32" t="s">
        <v>235</v>
      </c>
      <c r="E115" s="33" t="n">
        <v>0</v>
      </c>
      <c r="F115" s="33" t="n">
        <v>6603.209853</v>
      </c>
      <c r="G115" s="34" t="n">
        <v>6603.209853</v>
      </c>
      <c r="H115" s="35"/>
      <c r="I115" s="36" t="s">
        <v>16</v>
      </c>
    </row>
    <row r="116" customFormat="false" ht="15" hidden="false" customHeight="true" outlineLevel="0" collapsed="false">
      <c r="A116" s="41" t="s">
        <v>232</v>
      </c>
      <c r="B116" s="42" t="s">
        <v>236</v>
      </c>
      <c r="C116" s="42" t="s">
        <v>237</v>
      </c>
      <c r="D116" s="42" t="s">
        <v>238</v>
      </c>
      <c r="E116" s="43" t="n">
        <v>31820.7960808197</v>
      </c>
      <c r="F116" s="43" t="n">
        <v>36543.3172738218</v>
      </c>
      <c r="G116" s="44" t="n">
        <v>4722.52119300207</v>
      </c>
      <c r="H116" s="45" t="n">
        <v>0.148409900902782</v>
      </c>
      <c r="I116" s="46" t="s">
        <v>14</v>
      </c>
    </row>
    <row r="117" customFormat="false" ht="15" hidden="false" customHeight="true" outlineLevel="0" collapsed="false">
      <c r="A117" s="31" t="s">
        <v>232</v>
      </c>
      <c r="B117" s="32" t="s">
        <v>239</v>
      </c>
      <c r="C117" s="32" t="s">
        <v>240</v>
      </c>
      <c r="D117" s="32" t="s">
        <v>241</v>
      </c>
      <c r="E117" s="33" t="n">
        <v>0</v>
      </c>
      <c r="F117" s="33" t="n">
        <v>4303.01230321429</v>
      </c>
      <c r="G117" s="34" t="n">
        <v>4303.01230321429</v>
      </c>
      <c r="H117" s="35"/>
      <c r="I117" s="36" t="s">
        <v>16</v>
      </c>
    </row>
    <row r="118" customFormat="false" ht="15" hidden="false" customHeight="true" outlineLevel="0" collapsed="false">
      <c r="A118" s="41" t="s">
        <v>232</v>
      </c>
      <c r="B118" s="42" t="s">
        <v>242</v>
      </c>
      <c r="C118" s="42" t="s">
        <v>243</v>
      </c>
      <c r="D118" s="42" t="s">
        <v>244</v>
      </c>
      <c r="E118" s="43" t="n">
        <v>854.027353571428</v>
      </c>
      <c r="F118" s="43" t="n">
        <v>2709.44793648052</v>
      </c>
      <c r="G118" s="44" t="n">
        <v>1855.42058290909</v>
      </c>
      <c r="H118" s="45" t="n">
        <v>2.17255404660046</v>
      </c>
      <c r="I118" s="46" t="s">
        <v>14</v>
      </c>
    </row>
    <row r="119" customFormat="false" ht="15" hidden="false" customHeight="true" outlineLevel="0" collapsed="false">
      <c r="A119" s="31" t="s">
        <v>232</v>
      </c>
      <c r="B119" s="32" t="s">
        <v>245</v>
      </c>
      <c r="C119" s="32" t="s">
        <v>246</v>
      </c>
      <c r="D119" s="32" t="s">
        <v>241</v>
      </c>
      <c r="E119" s="33" t="n">
        <v>0</v>
      </c>
      <c r="F119" s="33" t="n">
        <v>1047.81004791667</v>
      </c>
      <c r="G119" s="34" t="n">
        <v>1047.81004791667</v>
      </c>
      <c r="H119" s="35"/>
      <c r="I119" s="36" t="s">
        <v>16</v>
      </c>
    </row>
    <row r="120" customFormat="false" ht="15" hidden="false" customHeight="true" outlineLevel="0" collapsed="false">
      <c r="A120" s="41" t="s">
        <v>232</v>
      </c>
      <c r="B120" s="42" t="s">
        <v>247</v>
      </c>
      <c r="C120" s="42" t="s">
        <v>248</v>
      </c>
      <c r="D120" s="42" t="s">
        <v>244</v>
      </c>
      <c r="E120" s="43" t="n">
        <v>1596.13523272727</v>
      </c>
      <c r="F120" s="43" t="n">
        <v>2014.48251514286</v>
      </c>
      <c r="G120" s="44" t="n">
        <v>418.347282415584</v>
      </c>
      <c r="H120" s="45" t="n">
        <v>0.262100149058652</v>
      </c>
      <c r="I120" s="46" t="s">
        <v>14</v>
      </c>
    </row>
    <row r="121" customFormat="false" ht="15" hidden="false" customHeight="true" outlineLevel="0" collapsed="false">
      <c r="A121" s="41" t="s">
        <v>232</v>
      </c>
      <c r="B121" s="42" t="s">
        <v>249</v>
      </c>
      <c r="C121" s="42" t="s">
        <v>250</v>
      </c>
      <c r="D121" s="42" t="s">
        <v>241</v>
      </c>
      <c r="E121" s="43" t="n">
        <v>1392.30101846884</v>
      </c>
      <c r="F121" s="43" t="n">
        <v>1624.35131706447</v>
      </c>
      <c r="G121" s="44" t="n">
        <v>232.050298595632</v>
      </c>
      <c r="H121" s="45" t="n">
        <v>0.166666759211901</v>
      </c>
      <c r="I121" s="46" t="s">
        <v>14</v>
      </c>
    </row>
    <row r="122" customFormat="false" ht="15" hidden="false" customHeight="true" outlineLevel="0" collapsed="false">
      <c r="A122" s="41" t="s">
        <v>232</v>
      </c>
      <c r="B122" s="42" t="s">
        <v>251</v>
      </c>
      <c r="C122" s="42" t="s">
        <v>252</v>
      </c>
      <c r="D122" s="42" t="s">
        <v>238</v>
      </c>
      <c r="E122" s="43" t="n">
        <v>6517.36862320588</v>
      </c>
      <c r="F122" s="43" t="n">
        <v>6521.27414004975</v>
      </c>
      <c r="G122" s="44" t="n">
        <v>3.90551684386537</v>
      </c>
      <c r="H122" s="45" t="n">
        <v>0.000599247498439678</v>
      </c>
      <c r="I122" s="46" t="s">
        <v>14</v>
      </c>
    </row>
    <row r="123" customFormat="false" ht="15" hidden="false" customHeight="true" outlineLevel="0" collapsed="false">
      <c r="A123" s="37" t="s">
        <v>232</v>
      </c>
      <c r="B123" s="38" t="s">
        <v>253</v>
      </c>
      <c r="C123" s="38" t="s">
        <v>240</v>
      </c>
      <c r="D123" s="38" t="s">
        <v>241</v>
      </c>
      <c r="E123" s="39" t="n">
        <v>41275.0260089455</v>
      </c>
      <c r="F123" s="39" t="n">
        <v>41275.0260089455</v>
      </c>
      <c r="G123" s="39" t="n">
        <v>7.27595761418343E-012</v>
      </c>
      <c r="H123" s="59" t="n">
        <v>1.76279903799613E-016</v>
      </c>
      <c r="I123" s="37" t="s">
        <v>18</v>
      </c>
    </row>
    <row r="124" customFormat="false" ht="15" hidden="false" customHeight="true" outlineLevel="0" collapsed="false">
      <c r="A124" s="37" t="s">
        <v>232</v>
      </c>
      <c r="B124" s="38" t="s">
        <v>254</v>
      </c>
      <c r="C124" s="38" t="s">
        <v>255</v>
      </c>
      <c r="D124" s="38" t="s">
        <v>256</v>
      </c>
      <c r="E124" s="39" t="n">
        <v>12247.4747473077</v>
      </c>
      <c r="F124" s="39" t="n">
        <v>12247.4747473077</v>
      </c>
      <c r="G124" s="39" t="n">
        <v>1.81898940354586E-012</v>
      </c>
      <c r="H124" s="59" t="n">
        <v>1.48519547178141E-016</v>
      </c>
      <c r="I124" s="37" t="s">
        <v>18</v>
      </c>
    </row>
    <row r="125" customFormat="false" ht="15" hidden="false" customHeight="true" outlineLevel="0" collapsed="false">
      <c r="A125" s="37" t="s">
        <v>232</v>
      </c>
      <c r="B125" s="38" t="s">
        <v>257</v>
      </c>
      <c r="C125" s="38" t="s">
        <v>258</v>
      </c>
      <c r="D125" s="38" t="s">
        <v>241</v>
      </c>
      <c r="E125" s="39" t="n">
        <v>1140.14480672222</v>
      </c>
      <c r="F125" s="39" t="n">
        <v>1140.14480672222</v>
      </c>
      <c r="G125" s="39" t="n">
        <v>2.27373675443232E-013</v>
      </c>
      <c r="H125" s="59" t="n">
        <v>1.99425260811303E-016</v>
      </c>
      <c r="I125" s="37" t="s">
        <v>18</v>
      </c>
    </row>
    <row r="126" customFormat="false" ht="15" hidden="false" customHeight="true" outlineLevel="0" collapsed="false">
      <c r="A126" s="37" t="s">
        <v>232</v>
      </c>
      <c r="B126" s="38" t="s">
        <v>259</v>
      </c>
      <c r="C126" s="38" t="s">
        <v>260</v>
      </c>
      <c r="D126" s="38" t="s">
        <v>235</v>
      </c>
      <c r="E126" s="39" t="n">
        <v>26873.859107875</v>
      </c>
      <c r="F126" s="39" t="n">
        <v>26873.859107875</v>
      </c>
      <c r="G126" s="39" t="n">
        <v>0</v>
      </c>
      <c r="H126" s="40" t="n">
        <v>0</v>
      </c>
      <c r="I126" s="37" t="s">
        <v>18</v>
      </c>
    </row>
    <row r="127" customFormat="false" ht="15" hidden="false" customHeight="true" outlineLevel="0" collapsed="false">
      <c r="A127" s="37" t="s">
        <v>232</v>
      </c>
      <c r="B127" s="38" t="s">
        <v>261</v>
      </c>
      <c r="C127" s="38" t="s">
        <v>260</v>
      </c>
      <c r="D127" s="38" t="s">
        <v>235</v>
      </c>
      <c r="E127" s="39" t="n">
        <v>19062.8531309619</v>
      </c>
      <c r="F127" s="39" t="n">
        <v>19062.8531309619</v>
      </c>
      <c r="G127" s="39" t="n">
        <v>0</v>
      </c>
      <c r="H127" s="40" t="n">
        <v>0</v>
      </c>
      <c r="I127" s="37" t="s">
        <v>18</v>
      </c>
    </row>
    <row r="128" customFormat="false" ht="15" hidden="false" customHeight="true" outlineLevel="0" collapsed="false">
      <c r="A128" s="37" t="s">
        <v>232</v>
      </c>
      <c r="B128" s="38" t="s">
        <v>262</v>
      </c>
      <c r="C128" s="38" t="s">
        <v>263</v>
      </c>
      <c r="D128" s="38" t="s">
        <v>264</v>
      </c>
      <c r="E128" s="39" t="n">
        <v>0</v>
      </c>
      <c r="F128" s="39" t="n">
        <v>0</v>
      </c>
      <c r="G128" s="39" t="n">
        <v>0</v>
      </c>
      <c r="H128" s="40"/>
      <c r="I128" s="37" t="s">
        <v>18</v>
      </c>
    </row>
    <row r="129" customFormat="false" ht="15" hidden="false" customHeight="true" outlineLevel="0" collapsed="false">
      <c r="A129" s="37" t="s">
        <v>232</v>
      </c>
      <c r="B129" s="38" t="s">
        <v>265</v>
      </c>
      <c r="C129" s="38" t="s">
        <v>237</v>
      </c>
      <c r="D129" s="38" t="s">
        <v>238</v>
      </c>
      <c r="E129" s="39" t="n">
        <v>1258.24355816842</v>
      </c>
      <c r="F129" s="39" t="n">
        <v>1258.24355816842</v>
      </c>
      <c r="G129" s="39" t="n">
        <v>0</v>
      </c>
      <c r="H129" s="40" t="n">
        <v>0</v>
      </c>
      <c r="I129" s="37" t="s">
        <v>18</v>
      </c>
    </row>
    <row r="130" customFormat="false" ht="15" hidden="false" customHeight="true" outlineLevel="0" collapsed="false">
      <c r="A130" s="37" t="s">
        <v>232</v>
      </c>
      <c r="B130" s="38" t="s">
        <v>266</v>
      </c>
      <c r="C130" s="38" t="s">
        <v>267</v>
      </c>
      <c r="D130" s="38" t="s">
        <v>268</v>
      </c>
      <c r="E130" s="39" t="n">
        <v>33893.1356520319</v>
      </c>
      <c r="F130" s="39" t="n">
        <v>33893.1356520319</v>
      </c>
      <c r="G130" s="39" t="n">
        <v>0</v>
      </c>
      <c r="H130" s="40" t="n">
        <v>0</v>
      </c>
      <c r="I130" s="37" t="s">
        <v>18</v>
      </c>
    </row>
    <row r="131" customFormat="false" ht="15" hidden="false" customHeight="true" outlineLevel="0" collapsed="false">
      <c r="A131" s="37" t="s">
        <v>232</v>
      </c>
      <c r="B131" s="38" t="s">
        <v>269</v>
      </c>
      <c r="C131" s="38" t="s">
        <v>263</v>
      </c>
      <c r="D131" s="38" t="s">
        <v>264</v>
      </c>
      <c r="E131" s="39" t="n">
        <v>9965.42446521826</v>
      </c>
      <c r="F131" s="39" t="n">
        <v>9965.42446521826</v>
      </c>
      <c r="G131" s="39" t="n">
        <v>0</v>
      </c>
      <c r="H131" s="40" t="n">
        <v>0</v>
      </c>
      <c r="I131" s="37" t="s">
        <v>18</v>
      </c>
    </row>
    <row r="132" customFormat="false" ht="15" hidden="false" customHeight="true" outlineLevel="0" collapsed="false">
      <c r="A132" s="37" t="s">
        <v>232</v>
      </c>
      <c r="B132" s="38" t="s">
        <v>270</v>
      </c>
      <c r="C132" s="38" t="s">
        <v>237</v>
      </c>
      <c r="D132" s="38" t="s">
        <v>238</v>
      </c>
      <c r="E132" s="39" t="n">
        <v>35340.9172041494</v>
      </c>
      <c r="F132" s="39" t="n">
        <v>35340.9172041494</v>
      </c>
      <c r="G132" s="39" t="n">
        <v>0</v>
      </c>
      <c r="H132" s="40" t="n">
        <v>0</v>
      </c>
      <c r="I132" s="37" t="s">
        <v>18</v>
      </c>
    </row>
    <row r="133" customFormat="false" ht="15" hidden="false" customHeight="true" outlineLevel="0" collapsed="false">
      <c r="A133" s="37" t="s">
        <v>232</v>
      </c>
      <c r="B133" s="38" t="s">
        <v>271</v>
      </c>
      <c r="C133" s="38" t="s">
        <v>246</v>
      </c>
      <c r="D133" s="38" t="s">
        <v>241</v>
      </c>
      <c r="E133" s="39" t="n">
        <v>3124.58552168966</v>
      </c>
      <c r="F133" s="39" t="n">
        <v>3124.58552168966</v>
      </c>
      <c r="G133" s="39" t="n">
        <v>0</v>
      </c>
      <c r="H133" s="40" t="n">
        <v>0</v>
      </c>
      <c r="I133" s="37" t="s">
        <v>18</v>
      </c>
    </row>
    <row r="134" customFormat="false" ht="15" hidden="false" customHeight="true" outlineLevel="0" collapsed="false">
      <c r="A134" s="37" t="s">
        <v>232</v>
      </c>
      <c r="B134" s="38" t="s">
        <v>272</v>
      </c>
      <c r="C134" s="38" t="s">
        <v>273</v>
      </c>
      <c r="D134" s="38" t="s">
        <v>274</v>
      </c>
      <c r="E134" s="39" t="n">
        <v>0</v>
      </c>
      <c r="F134" s="39" t="n">
        <v>0</v>
      </c>
      <c r="G134" s="39" t="n">
        <v>0</v>
      </c>
      <c r="H134" s="40"/>
      <c r="I134" s="37" t="s">
        <v>18</v>
      </c>
    </row>
    <row r="135" customFormat="false" ht="15" hidden="false" customHeight="true" outlineLevel="0" collapsed="false">
      <c r="A135" s="37" t="s">
        <v>232</v>
      </c>
      <c r="B135" s="38" t="s">
        <v>275</v>
      </c>
      <c r="C135" s="38" t="s">
        <v>276</v>
      </c>
      <c r="D135" s="38" t="s">
        <v>277</v>
      </c>
      <c r="E135" s="39" t="n">
        <v>14868.014864</v>
      </c>
      <c r="F135" s="39" t="n">
        <v>14868.014864</v>
      </c>
      <c r="G135" s="39" t="n">
        <v>0</v>
      </c>
      <c r="H135" s="40" t="n">
        <v>0</v>
      </c>
      <c r="I135" s="37" t="s">
        <v>18</v>
      </c>
    </row>
    <row r="136" customFormat="false" ht="15" hidden="false" customHeight="true" outlineLevel="0" collapsed="false">
      <c r="A136" s="37" t="s">
        <v>232</v>
      </c>
      <c r="B136" s="38" t="s">
        <v>278</v>
      </c>
      <c r="C136" s="38" t="s">
        <v>276</v>
      </c>
      <c r="D136" s="38" t="s">
        <v>277</v>
      </c>
      <c r="E136" s="39" t="n">
        <v>5769.82515913043</v>
      </c>
      <c r="F136" s="39" t="n">
        <v>5769.82515913043</v>
      </c>
      <c r="G136" s="39" t="n">
        <v>0</v>
      </c>
      <c r="H136" s="40" t="n">
        <v>0</v>
      </c>
      <c r="I136" s="37" t="s">
        <v>18</v>
      </c>
    </row>
    <row r="137" customFormat="false" ht="15" hidden="false" customHeight="true" outlineLevel="0" collapsed="false">
      <c r="A137" s="37" t="s">
        <v>232</v>
      </c>
      <c r="B137" s="38" t="s">
        <v>279</v>
      </c>
      <c r="C137" s="38" t="s">
        <v>241</v>
      </c>
      <c r="D137" s="38" t="s">
        <v>280</v>
      </c>
      <c r="E137" s="39" t="n">
        <v>0</v>
      </c>
      <c r="F137" s="39" t="n">
        <v>0</v>
      </c>
      <c r="G137" s="39" t="n">
        <v>0</v>
      </c>
      <c r="H137" s="40"/>
      <c r="I137" s="37" t="s">
        <v>18</v>
      </c>
    </row>
    <row r="138" customFormat="false" ht="15" hidden="false" customHeight="true" outlineLevel="0" collapsed="false">
      <c r="A138" s="37" t="s">
        <v>232</v>
      </c>
      <c r="B138" s="38" t="s">
        <v>281</v>
      </c>
      <c r="C138" s="38" t="s">
        <v>282</v>
      </c>
      <c r="D138" s="38" t="s">
        <v>277</v>
      </c>
      <c r="E138" s="39" t="n">
        <v>27306.9679101057</v>
      </c>
      <c r="F138" s="39" t="n">
        <v>27306.9679101057</v>
      </c>
      <c r="G138" s="39" t="n">
        <v>0</v>
      </c>
      <c r="H138" s="40" t="n">
        <v>0</v>
      </c>
      <c r="I138" s="37" t="s">
        <v>18</v>
      </c>
    </row>
    <row r="139" customFormat="false" ht="15" hidden="false" customHeight="true" outlineLevel="0" collapsed="false">
      <c r="A139" s="37" t="s">
        <v>232</v>
      </c>
      <c r="B139" s="38" t="s">
        <v>283</v>
      </c>
      <c r="C139" s="38" t="s">
        <v>241</v>
      </c>
      <c r="D139" s="38" t="s">
        <v>280</v>
      </c>
      <c r="E139" s="39" t="n">
        <v>252.105252020896</v>
      </c>
      <c r="F139" s="39" t="n">
        <v>252.105252020896</v>
      </c>
      <c r="G139" s="39" t="n">
        <v>-2.8421709430404E-014</v>
      </c>
      <c r="H139" s="40" t="n">
        <v>-1.12737474537216E-016</v>
      </c>
      <c r="I139" s="37" t="s">
        <v>18</v>
      </c>
    </row>
    <row r="140" customFormat="false" ht="15" hidden="false" customHeight="true" outlineLevel="0" collapsed="false">
      <c r="A140" s="37" t="s">
        <v>232</v>
      </c>
      <c r="B140" s="38" t="s">
        <v>284</v>
      </c>
      <c r="C140" s="38" t="s">
        <v>258</v>
      </c>
      <c r="D140" s="38" t="s">
        <v>241</v>
      </c>
      <c r="E140" s="39" t="n">
        <v>1476.77071</v>
      </c>
      <c r="F140" s="39" t="n">
        <v>1476.77071</v>
      </c>
      <c r="G140" s="39" t="n">
        <v>-2.27373675443232E-013</v>
      </c>
      <c r="H140" s="40" t="n">
        <v>-1.53966810083356E-016</v>
      </c>
      <c r="I140" s="37" t="s">
        <v>18</v>
      </c>
    </row>
    <row r="141" customFormat="false" ht="15" hidden="false" customHeight="true" outlineLevel="0" collapsed="false">
      <c r="A141" s="37" t="s">
        <v>232</v>
      </c>
      <c r="B141" s="38" t="s">
        <v>285</v>
      </c>
      <c r="C141" s="38" t="s">
        <v>286</v>
      </c>
      <c r="D141" s="38" t="s">
        <v>235</v>
      </c>
      <c r="E141" s="39" t="n">
        <v>2976.75297675</v>
      </c>
      <c r="F141" s="39" t="n">
        <v>2976.75297675</v>
      </c>
      <c r="G141" s="39" t="n">
        <v>-4.54747350886464E-013</v>
      </c>
      <c r="H141" s="40" t="n">
        <v>-1.52766237050329E-016</v>
      </c>
      <c r="I141" s="37" t="s">
        <v>18</v>
      </c>
    </row>
    <row r="142" customFormat="false" ht="15" hidden="false" customHeight="true" outlineLevel="0" collapsed="false">
      <c r="A142" s="37" t="s">
        <v>232</v>
      </c>
      <c r="B142" s="38" t="s">
        <v>287</v>
      </c>
      <c r="C142" s="38" t="s">
        <v>260</v>
      </c>
      <c r="D142" s="38" t="s">
        <v>235</v>
      </c>
      <c r="E142" s="39" t="n">
        <v>48263.298259</v>
      </c>
      <c r="F142" s="39" t="n">
        <v>48263.298259</v>
      </c>
      <c r="G142" s="39" t="n">
        <v>-7.27595761418343E-012</v>
      </c>
      <c r="H142" s="40" t="n">
        <v>-1.50755499036509E-016</v>
      </c>
      <c r="I142" s="37" t="s">
        <v>18</v>
      </c>
    </row>
    <row r="143" customFormat="false" ht="15" hidden="false" customHeight="true" outlineLevel="0" collapsed="false">
      <c r="A143" s="53" t="s">
        <v>232</v>
      </c>
      <c r="B143" s="54" t="s">
        <v>288</v>
      </c>
      <c r="C143" s="54" t="s">
        <v>258</v>
      </c>
      <c r="D143" s="54" t="s">
        <v>241</v>
      </c>
      <c r="E143" s="55" t="n">
        <v>517.165002554622</v>
      </c>
      <c r="F143" s="55" t="n">
        <v>284.537605320755</v>
      </c>
      <c r="G143" s="56" t="n">
        <v>-232.627397233867</v>
      </c>
      <c r="H143" s="57" t="n">
        <v>-0.449812721442413</v>
      </c>
      <c r="I143" s="58" t="s">
        <v>15</v>
      </c>
    </row>
    <row r="144" customFormat="false" ht="15" hidden="false" customHeight="true" outlineLevel="0" collapsed="false">
      <c r="A144" s="47" t="s">
        <v>232</v>
      </c>
      <c r="B144" s="48" t="s">
        <v>289</v>
      </c>
      <c r="C144" s="48" t="s">
        <v>290</v>
      </c>
      <c r="D144" s="48" t="s">
        <v>241</v>
      </c>
      <c r="E144" s="49" t="n">
        <v>1636.49255322222</v>
      </c>
      <c r="F144" s="49" t="n">
        <v>0</v>
      </c>
      <c r="G144" s="50" t="n">
        <v>-1636.49255322222</v>
      </c>
      <c r="H144" s="51" t="n">
        <v>-1</v>
      </c>
      <c r="I144" s="52" t="s">
        <v>17</v>
      </c>
    </row>
    <row r="145" customFormat="false" ht="15" hidden="false" customHeight="true" outlineLevel="0" collapsed="false">
      <c r="A145" s="47" t="s">
        <v>232</v>
      </c>
      <c r="B145" s="48" t="s">
        <v>291</v>
      </c>
      <c r="C145" s="48" t="s">
        <v>237</v>
      </c>
      <c r="D145" s="48" t="s">
        <v>238</v>
      </c>
      <c r="E145" s="49" t="n">
        <v>3412.74061718182</v>
      </c>
      <c r="F145" s="49" t="n">
        <v>0</v>
      </c>
      <c r="G145" s="50" t="n">
        <v>-3412.74061718182</v>
      </c>
      <c r="H145" s="51" t="n">
        <v>-1</v>
      </c>
      <c r="I145" s="52" t="s">
        <v>17</v>
      </c>
    </row>
    <row r="146" customFormat="false" ht="15" hidden="false" customHeight="true" outlineLevel="0" collapsed="false">
      <c r="A146" s="53" t="s">
        <v>232</v>
      </c>
      <c r="B146" s="54" t="s">
        <v>292</v>
      </c>
      <c r="C146" s="54" t="s">
        <v>293</v>
      </c>
      <c r="D146" s="54" t="s">
        <v>277</v>
      </c>
      <c r="E146" s="55" t="n">
        <v>28535.72786115</v>
      </c>
      <c r="F146" s="55" t="n">
        <v>12420.7556209185</v>
      </c>
      <c r="G146" s="56" t="n">
        <v>-16114.9722402315</v>
      </c>
      <c r="H146" s="57" t="n">
        <v>-0.56472967217252</v>
      </c>
      <c r="I146" s="58" t="s">
        <v>15</v>
      </c>
    </row>
    <row r="147" customFormat="false" ht="15" hidden="false" customHeight="true" outlineLevel="0" collapsed="false">
      <c r="A147" s="31" t="s">
        <v>294</v>
      </c>
      <c r="B147" s="32" t="s">
        <v>295</v>
      </c>
      <c r="C147" s="32" t="s">
        <v>296</v>
      </c>
      <c r="D147" s="32" t="s">
        <v>297</v>
      </c>
      <c r="E147" s="33" t="n">
        <v>0</v>
      </c>
      <c r="F147" s="33" t="n">
        <v>20547.2730386572</v>
      </c>
      <c r="G147" s="34" t="n">
        <v>20547.2730386572</v>
      </c>
      <c r="H147" s="35"/>
      <c r="I147" s="36" t="s">
        <v>16</v>
      </c>
    </row>
    <row r="148" customFormat="false" ht="15" hidden="false" customHeight="true" outlineLevel="0" collapsed="false">
      <c r="A148" s="31" t="s">
        <v>294</v>
      </c>
      <c r="B148" s="32" t="s">
        <v>298</v>
      </c>
      <c r="C148" s="32" t="s">
        <v>299</v>
      </c>
      <c r="D148" s="32" t="s">
        <v>297</v>
      </c>
      <c r="E148" s="33" t="n">
        <v>0</v>
      </c>
      <c r="F148" s="33" t="n">
        <v>1325.660787</v>
      </c>
      <c r="G148" s="34" t="n">
        <v>1325.660787</v>
      </c>
      <c r="H148" s="35"/>
      <c r="I148" s="36" t="s">
        <v>16</v>
      </c>
    </row>
    <row r="149" customFormat="false" ht="15" hidden="false" customHeight="true" outlineLevel="0" collapsed="false">
      <c r="A149" s="37" t="s">
        <v>294</v>
      </c>
      <c r="B149" s="38" t="s">
        <v>300</v>
      </c>
      <c r="C149" s="38" t="s">
        <v>301</v>
      </c>
      <c r="D149" s="38" t="s">
        <v>297</v>
      </c>
      <c r="E149" s="39" t="n">
        <v>1275.909091</v>
      </c>
      <c r="F149" s="39" t="n">
        <v>1275.909091</v>
      </c>
      <c r="G149" s="39" t="n">
        <v>0</v>
      </c>
      <c r="H149" s="40" t="n">
        <v>0</v>
      </c>
      <c r="I149" s="37" t="s">
        <v>18</v>
      </c>
    </row>
    <row r="150" customFormat="false" ht="15" hidden="false" customHeight="true" outlineLevel="0" collapsed="false">
      <c r="A150" s="37" t="s">
        <v>294</v>
      </c>
      <c r="B150" s="38" t="s">
        <v>302</v>
      </c>
      <c r="C150" s="38" t="s">
        <v>303</v>
      </c>
      <c r="D150" s="38" t="s">
        <v>304</v>
      </c>
      <c r="E150" s="39" t="n">
        <v>2925.02727207692</v>
      </c>
      <c r="F150" s="39" t="n">
        <v>2925.02727207692</v>
      </c>
      <c r="G150" s="39" t="n">
        <v>-4.54747350886464E-013</v>
      </c>
      <c r="H150" s="40" t="n">
        <v>-1.55467730242245E-016</v>
      </c>
      <c r="I150" s="37" t="s">
        <v>18</v>
      </c>
    </row>
    <row r="151" customFormat="false" ht="15" hidden="false" customHeight="true" outlineLevel="0" collapsed="false">
      <c r="A151" s="53" t="s">
        <v>294</v>
      </c>
      <c r="B151" s="54" t="s">
        <v>305</v>
      </c>
      <c r="C151" s="54" t="s">
        <v>301</v>
      </c>
      <c r="D151" s="54" t="s">
        <v>297</v>
      </c>
      <c r="E151" s="55" t="n">
        <v>11265.5017845069</v>
      </c>
      <c r="F151" s="55" t="n">
        <v>2739.05111803846</v>
      </c>
      <c r="G151" s="56" t="n">
        <v>-8526.4506664684</v>
      </c>
      <c r="H151" s="57" t="n">
        <v>-0.756863815706336</v>
      </c>
      <c r="I151" s="58" t="s">
        <v>15</v>
      </c>
    </row>
    <row r="152" customFormat="false" ht="15" hidden="false" customHeight="true" outlineLevel="0" collapsed="false">
      <c r="A152" s="47" t="s">
        <v>294</v>
      </c>
      <c r="B152" s="48" t="s">
        <v>306</v>
      </c>
      <c r="C152" s="48" t="s">
        <v>299</v>
      </c>
      <c r="D152" s="48" t="s">
        <v>297</v>
      </c>
      <c r="E152" s="49" t="n">
        <v>10477.27273</v>
      </c>
      <c r="F152" s="49" t="n">
        <v>0</v>
      </c>
      <c r="G152" s="50" t="n">
        <v>-10477.27273</v>
      </c>
      <c r="H152" s="51" t="n">
        <v>-1</v>
      </c>
      <c r="I152" s="52" t="s">
        <v>17</v>
      </c>
    </row>
    <row r="153" customFormat="false" ht="15" hidden="false" customHeight="true" outlineLevel="0" collapsed="false">
      <c r="A153" s="53" t="s">
        <v>294</v>
      </c>
      <c r="B153" s="54" t="s">
        <v>307</v>
      </c>
      <c r="C153" s="54" t="s">
        <v>308</v>
      </c>
      <c r="D153" s="54" t="s">
        <v>304</v>
      </c>
      <c r="E153" s="55" t="n">
        <v>112861.041975744</v>
      </c>
      <c r="F153" s="55" t="n">
        <v>64045.3634306826</v>
      </c>
      <c r="G153" s="56" t="n">
        <v>-48815.6785450618</v>
      </c>
      <c r="H153" s="57" t="n">
        <v>-0.432529043596399</v>
      </c>
      <c r="I153" s="58" t="s">
        <v>15</v>
      </c>
    </row>
    <row r="154" customFormat="false" ht="15" hidden="false" customHeight="true" outlineLevel="0" collapsed="false">
      <c r="A154" s="31" t="s">
        <v>309</v>
      </c>
      <c r="B154" s="32" t="s">
        <v>310</v>
      </c>
      <c r="C154" s="32" t="s">
        <v>311</v>
      </c>
      <c r="D154" s="32" t="s">
        <v>312</v>
      </c>
      <c r="E154" s="33" t="n">
        <v>0</v>
      </c>
      <c r="F154" s="33" t="n">
        <v>4656.38783028572</v>
      </c>
      <c r="G154" s="34" t="n">
        <v>4656.38783028572</v>
      </c>
      <c r="H154" s="35"/>
      <c r="I154" s="36" t="s">
        <v>16</v>
      </c>
    </row>
    <row r="155" customFormat="false" ht="15" hidden="false" customHeight="true" outlineLevel="0" collapsed="false">
      <c r="A155" s="41" t="s">
        <v>309</v>
      </c>
      <c r="B155" s="42" t="s">
        <v>313</v>
      </c>
      <c r="C155" s="42" t="s">
        <v>314</v>
      </c>
      <c r="D155" s="42" t="s">
        <v>315</v>
      </c>
      <c r="E155" s="43" t="n">
        <v>13204.3443957854</v>
      </c>
      <c r="F155" s="43" t="n">
        <v>17547.6442866809</v>
      </c>
      <c r="G155" s="44" t="n">
        <v>4343.29989089554</v>
      </c>
      <c r="H155" s="45" t="n">
        <v>0.328929612914507</v>
      </c>
      <c r="I155" s="46" t="s">
        <v>14</v>
      </c>
    </row>
    <row r="156" customFormat="false" ht="15" hidden="false" customHeight="true" outlineLevel="0" collapsed="false">
      <c r="A156" s="37" t="s">
        <v>309</v>
      </c>
      <c r="B156" s="38" t="s">
        <v>316</v>
      </c>
      <c r="C156" s="38" t="s">
        <v>317</v>
      </c>
      <c r="D156" s="38" t="s">
        <v>312</v>
      </c>
      <c r="E156" s="39" t="n">
        <v>1303.1555554</v>
      </c>
      <c r="F156" s="39" t="n">
        <v>1303.1555554</v>
      </c>
      <c r="G156" s="39" t="n">
        <v>2.27373675443232E-013</v>
      </c>
      <c r="H156" s="59" t="n">
        <v>1.74479304869663E-016</v>
      </c>
      <c r="I156" s="37" t="s">
        <v>18</v>
      </c>
    </row>
    <row r="157" customFormat="false" ht="15" hidden="false" customHeight="true" outlineLevel="0" collapsed="false">
      <c r="A157" s="41" t="s">
        <v>318</v>
      </c>
      <c r="B157" s="42" t="s">
        <v>49</v>
      </c>
      <c r="C157" s="42" t="s">
        <v>49</v>
      </c>
      <c r="D157" s="42" t="s">
        <v>49</v>
      </c>
      <c r="E157" s="43" t="n">
        <v>6855.75337481699</v>
      </c>
      <c r="F157" s="43" t="n">
        <v>39674.2475598686</v>
      </c>
      <c r="G157" s="44" t="n">
        <v>32818.4941850516</v>
      </c>
      <c r="H157" s="45" t="n">
        <v>4.78700040547005</v>
      </c>
      <c r="I157" s="46" t="s">
        <v>14</v>
      </c>
    </row>
    <row r="158" customFormat="false" ht="15" hidden="false" customHeight="true" outlineLevel="0" collapsed="false">
      <c r="A158" s="41" t="s">
        <v>319</v>
      </c>
      <c r="B158" s="42" t="s">
        <v>320</v>
      </c>
      <c r="C158" s="42" t="s">
        <v>321</v>
      </c>
      <c r="D158" s="42" t="s">
        <v>322</v>
      </c>
      <c r="E158" s="43" t="n">
        <v>49601.9483158447</v>
      </c>
      <c r="F158" s="43" t="n">
        <v>59706.9040259757</v>
      </c>
      <c r="G158" s="44" t="n">
        <v>10104.955710131</v>
      </c>
      <c r="H158" s="45" t="n">
        <v>0.203720943495744</v>
      </c>
      <c r="I158" s="46" t="s">
        <v>14</v>
      </c>
    </row>
    <row r="159" customFormat="false" ht="15" hidden="false" customHeight="true" outlineLevel="0" collapsed="false">
      <c r="A159" s="31" t="s">
        <v>319</v>
      </c>
      <c r="B159" s="32" t="s">
        <v>323</v>
      </c>
      <c r="C159" s="32" t="s">
        <v>324</v>
      </c>
      <c r="D159" s="32" t="s">
        <v>322</v>
      </c>
      <c r="E159" s="33" t="n">
        <v>0</v>
      </c>
      <c r="F159" s="33" t="n">
        <v>3599.94782153846</v>
      </c>
      <c r="G159" s="34" t="n">
        <v>3599.94782153846</v>
      </c>
      <c r="H159" s="35"/>
      <c r="I159" s="36" t="s">
        <v>16</v>
      </c>
    </row>
    <row r="160" customFormat="false" ht="15" hidden="false" customHeight="true" outlineLevel="0" collapsed="false">
      <c r="A160" s="37" t="s">
        <v>319</v>
      </c>
      <c r="B160" s="38" t="s">
        <v>49</v>
      </c>
      <c r="C160" s="38" t="s">
        <v>49</v>
      </c>
      <c r="D160" s="38" t="s">
        <v>49</v>
      </c>
      <c r="E160" s="39" t="n">
        <v>2440.00634395</v>
      </c>
      <c r="F160" s="39" t="n">
        <v>2440.00634395</v>
      </c>
      <c r="G160" s="39" t="n">
        <v>0</v>
      </c>
      <c r="H160" s="40" t="n">
        <v>0</v>
      </c>
      <c r="I160" s="37" t="s">
        <v>18</v>
      </c>
    </row>
    <row r="161" customFormat="false" ht="15" hidden="false" customHeight="true" outlineLevel="0" collapsed="false">
      <c r="A161" s="37" t="s">
        <v>319</v>
      </c>
      <c r="B161" s="38" t="s">
        <v>325</v>
      </c>
      <c r="C161" s="38" t="s">
        <v>326</v>
      </c>
      <c r="D161" s="38" t="s">
        <v>327</v>
      </c>
      <c r="E161" s="39" t="n">
        <v>9497.578295</v>
      </c>
      <c r="F161" s="39" t="n">
        <v>9497.578295</v>
      </c>
      <c r="G161" s="39" t="n">
        <v>0</v>
      </c>
      <c r="H161" s="40" t="n">
        <v>0</v>
      </c>
      <c r="I161" s="37" t="s">
        <v>18</v>
      </c>
    </row>
    <row r="162" customFormat="false" ht="15" hidden="false" customHeight="true" outlineLevel="0" collapsed="false">
      <c r="A162" s="53" t="s">
        <v>328</v>
      </c>
      <c r="B162" s="54" t="s">
        <v>108</v>
      </c>
      <c r="C162" s="54" t="s">
        <v>84</v>
      </c>
      <c r="D162" s="54" t="s">
        <v>85</v>
      </c>
      <c r="E162" s="55" t="n">
        <v>42279.8694242498</v>
      </c>
      <c r="F162" s="55" t="n">
        <v>34597.4163688121</v>
      </c>
      <c r="G162" s="56" t="n">
        <v>-7682.45305543768</v>
      </c>
      <c r="H162" s="57" t="n">
        <v>-0.181704748856944</v>
      </c>
      <c r="I162" s="58" t="s">
        <v>15</v>
      </c>
    </row>
    <row r="163" customFormat="false" ht="19.5" hidden="false" customHeight="true" outlineLevel="0" collapsed="false">
      <c r="A163" s="60" t="s">
        <v>329</v>
      </c>
      <c r="B163" s="60"/>
      <c r="C163" s="60"/>
      <c r="D163" s="60"/>
      <c r="E163" s="61" t="n">
        <f aca="false">SUM(E4:E162)</f>
        <v>1724304.77682428</v>
      </c>
      <c r="F163" s="61" t="n">
        <f aca="false">SUM(F4:F162)</f>
        <v>1667306.46526342</v>
      </c>
      <c r="G163" s="61" t="n">
        <f aca="false">SUM(G4:G162)</f>
        <v>-56998.3115608603</v>
      </c>
      <c r="H163" s="60"/>
      <c r="I163" s="60"/>
    </row>
  </sheetData>
  <mergeCells count="3">
    <mergeCell ref="A1:H1"/>
    <mergeCell ref="A2:H2"/>
    <mergeCell ref="A163:D16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22"/>
    <col collapsed="false" customWidth="true" hidden="false" outlineLevel="0" max="4" min="4" style="0" width="20"/>
    <col collapsed="false" customWidth="true" hidden="false" outlineLevel="0" max="6" min="5" style="0" width="14"/>
  </cols>
  <sheetData>
    <row r="1" customFormat="false" ht="25.5" hidden="false" customHeight="true" outlineLevel="0" collapsed="false">
      <c r="A1" s="28" t="s">
        <v>330</v>
      </c>
      <c r="B1" s="28"/>
      <c r="C1" s="28"/>
      <c r="D1" s="28"/>
      <c r="E1" s="28"/>
      <c r="F1" s="28"/>
    </row>
    <row r="2" customFormat="false" ht="13.5" hidden="false" customHeight="true" outlineLevel="0" collapsed="false">
      <c r="A2" s="29" t="s">
        <v>331</v>
      </c>
      <c r="B2" s="29"/>
      <c r="C2" s="29"/>
      <c r="D2" s="29"/>
      <c r="E2" s="29"/>
      <c r="F2" s="29"/>
    </row>
    <row r="3" customFormat="false" ht="24" hidden="false" customHeight="true" outlineLevel="0" collapsed="false">
      <c r="A3" s="30" t="s">
        <v>21</v>
      </c>
      <c r="B3" s="30" t="s">
        <v>25</v>
      </c>
      <c r="C3" s="30" t="s">
        <v>26</v>
      </c>
      <c r="D3" s="30" t="s">
        <v>5</v>
      </c>
      <c r="E3" s="30" t="s">
        <v>27</v>
      </c>
      <c r="F3" s="30" t="s">
        <v>12</v>
      </c>
    </row>
    <row r="4" customFormat="false" ht="16.5" hidden="false" customHeight="true" outlineLevel="0" collapsed="false">
      <c r="A4" s="62" t="s">
        <v>169</v>
      </c>
      <c r="B4" s="63" t="n">
        <v>226641.977990749</v>
      </c>
      <c r="C4" s="63" t="n">
        <v>264382.972356852</v>
      </c>
      <c r="D4" s="64" t="n">
        <v>37740.9943661031</v>
      </c>
      <c r="E4" s="65" t="n">
        <v>0.166522524647414</v>
      </c>
      <c r="F4" s="66" t="s">
        <v>14</v>
      </c>
    </row>
    <row r="5" customFormat="false" ht="16.5" hidden="false" customHeight="true" outlineLevel="0" collapsed="false">
      <c r="A5" s="62" t="s">
        <v>318</v>
      </c>
      <c r="B5" s="63" t="n">
        <v>6855.75337481699</v>
      </c>
      <c r="C5" s="63" t="n">
        <v>39674.2475598686</v>
      </c>
      <c r="D5" s="64" t="n">
        <v>32818.4941850516</v>
      </c>
      <c r="E5" s="65" t="n">
        <v>4.78700040547005</v>
      </c>
      <c r="F5" s="66" t="s">
        <v>14</v>
      </c>
    </row>
    <row r="6" customFormat="false" ht="16.5" hidden="false" customHeight="true" outlineLevel="0" collapsed="false">
      <c r="A6" s="67" t="s">
        <v>145</v>
      </c>
      <c r="B6" s="68" t="n">
        <v>0</v>
      </c>
      <c r="C6" s="68" t="n">
        <v>31027.531026</v>
      </c>
      <c r="D6" s="69" t="n">
        <v>31027.531026</v>
      </c>
      <c r="E6" s="70"/>
      <c r="F6" s="71" t="s">
        <v>16</v>
      </c>
    </row>
    <row r="7" customFormat="false" ht="16.5" hidden="false" customHeight="true" outlineLevel="0" collapsed="false">
      <c r="A7" s="62" t="s">
        <v>66</v>
      </c>
      <c r="B7" s="63" t="n">
        <v>9280.11927880276</v>
      </c>
      <c r="C7" s="63" t="n">
        <v>26970.4228907426</v>
      </c>
      <c r="D7" s="64" t="n">
        <v>17690.3036119399</v>
      </c>
      <c r="E7" s="65" t="n">
        <v>1.90625821505843</v>
      </c>
      <c r="F7" s="66" t="s">
        <v>14</v>
      </c>
    </row>
    <row r="8" customFormat="false" ht="16.5" hidden="false" customHeight="true" outlineLevel="0" collapsed="false">
      <c r="A8" s="62" t="s">
        <v>319</v>
      </c>
      <c r="B8" s="63" t="n">
        <v>61539.5329547948</v>
      </c>
      <c r="C8" s="63" t="n">
        <v>75244.4364864642</v>
      </c>
      <c r="D8" s="64" t="n">
        <v>13704.9035316695</v>
      </c>
      <c r="E8" s="65" t="n">
        <v>0.222700805053829</v>
      </c>
      <c r="F8" s="66" t="s">
        <v>14</v>
      </c>
    </row>
    <row r="9" customFormat="false" ht="16.5" hidden="false" customHeight="true" outlineLevel="0" collapsed="false">
      <c r="A9" s="62" t="s">
        <v>52</v>
      </c>
      <c r="B9" s="63" t="n">
        <v>213511.275468461</v>
      </c>
      <c r="C9" s="63" t="n">
        <v>224728.234573305</v>
      </c>
      <c r="D9" s="64" t="n">
        <v>11216.9591048443</v>
      </c>
      <c r="E9" s="65" t="n">
        <v>0.0525356755994896</v>
      </c>
      <c r="F9" s="66" t="s">
        <v>14</v>
      </c>
    </row>
    <row r="10" customFormat="false" ht="16.5" hidden="false" customHeight="true" outlineLevel="0" collapsed="false">
      <c r="A10" s="62" t="s">
        <v>309</v>
      </c>
      <c r="B10" s="63" t="n">
        <v>14507.4999511854</v>
      </c>
      <c r="C10" s="63" t="n">
        <v>23507.1876723667</v>
      </c>
      <c r="D10" s="64" t="n">
        <v>8999.68772118125</v>
      </c>
      <c r="E10" s="65" t="n">
        <v>0.62034725152254</v>
      </c>
      <c r="F10" s="66" t="s">
        <v>14</v>
      </c>
    </row>
    <row r="11" customFormat="false" ht="16.5" hidden="false" customHeight="true" outlineLevel="0" collapsed="false">
      <c r="A11" s="62" t="s">
        <v>232</v>
      </c>
      <c r="B11" s="63" t="n">
        <v>370419.526475633</v>
      </c>
      <c r="C11" s="63" t="n">
        <v>378133.886167732</v>
      </c>
      <c r="D11" s="64" t="n">
        <v>7714.35969209892</v>
      </c>
      <c r="E11" s="65" t="n">
        <v>0.0208260071100933</v>
      </c>
      <c r="F11" s="66" t="s">
        <v>14</v>
      </c>
    </row>
    <row r="12" customFormat="false" ht="16.5" hidden="false" customHeight="true" outlineLevel="0" collapsed="false">
      <c r="A12" s="67" t="s">
        <v>165</v>
      </c>
      <c r="B12" s="68" t="n">
        <v>0</v>
      </c>
      <c r="C12" s="68" t="n">
        <v>6877.91304366667</v>
      </c>
      <c r="D12" s="69" t="n">
        <v>6877.91304366667</v>
      </c>
      <c r="E12" s="70"/>
      <c r="F12" s="71" t="s">
        <v>16</v>
      </c>
    </row>
    <row r="13" customFormat="false" ht="16.5" hidden="false" customHeight="true" outlineLevel="0" collapsed="false">
      <c r="A13" s="62" t="s">
        <v>215</v>
      </c>
      <c r="B13" s="63" t="n">
        <v>8784.32433924445</v>
      </c>
      <c r="C13" s="63" t="n">
        <v>14429.1964266125</v>
      </c>
      <c r="D13" s="64" t="n">
        <v>5644.87208736802</v>
      </c>
      <c r="E13" s="65" t="n">
        <v>0.642607429936216</v>
      </c>
      <c r="F13" s="66" t="s">
        <v>14</v>
      </c>
    </row>
    <row r="14" customFormat="false" ht="16.5" hidden="false" customHeight="true" outlineLevel="0" collapsed="false">
      <c r="A14" s="62" t="s">
        <v>34</v>
      </c>
      <c r="B14" s="63" t="n">
        <v>40106.7724552371</v>
      </c>
      <c r="C14" s="63" t="n">
        <v>45542.8732565029</v>
      </c>
      <c r="D14" s="64" t="n">
        <v>5436.10080126574</v>
      </c>
      <c r="E14" s="65" t="n">
        <v>0.135540719646113</v>
      </c>
      <c r="F14" s="66" t="s">
        <v>14</v>
      </c>
    </row>
    <row r="15" customFormat="false" ht="16.5" hidden="false" customHeight="true" outlineLevel="0" collapsed="false">
      <c r="A15" s="62" t="s">
        <v>51</v>
      </c>
      <c r="B15" s="63" t="n">
        <v>6689.60338182472</v>
      </c>
      <c r="C15" s="63" t="n">
        <v>7809.36422566098</v>
      </c>
      <c r="D15" s="64" t="n">
        <v>1119.76084383627</v>
      </c>
      <c r="E15" s="65" t="n">
        <v>0.167388226165784</v>
      </c>
      <c r="F15" s="66" t="s">
        <v>14</v>
      </c>
    </row>
    <row r="16" customFormat="false" ht="16.5" hidden="false" customHeight="true" outlineLevel="0" collapsed="false">
      <c r="A16" s="62" t="s">
        <v>28</v>
      </c>
      <c r="B16" s="63" t="n">
        <v>1737.650237</v>
      </c>
      <c r="C16" s="63" t="n">
        <v>2724.39701310526</v>
      </c>
      <c r="D16" s="64" t="n">
        <v>986.746776105263</v>
      </c>
      <c r="E16" s="65" t="n">
        <v>0.567862712008632</v>
      </c>
      <c r="F16" s="66" t="s">
        <v>14</v>
      </c>
    </row>
    <row r="17" customFormat="false" ht="16.5" hidden="false" customHeight="true" outlineLevel="0" collapsed="false">
      <c r="A17" s="72" t="s">
        <v>223</v>
      </c>
      <c r="B17" s="73" t="n">
        <v>0</v>
      </c>
      <c r="C17" s="73" t="n">
        <v>0</v>
      </c>
      <c r="D17" s="73" t="n">
        <v>0</v>
      </c>
      <c r="E17" s="74"/>
      <c r="F17" s="72" t="s">
        <v>18</v>
      </c>
    </row>
    <row r="18" customFormat="false" ht="16.5" hidden="false" customHeight="true" outlineLevel="0" collapsed="false">
      <c r="A18" s="75" t="s">
        <v>74</v>
      </c>
      <c r="B18" s="76" t="n">
        <v>21996.8083919323</v>
      </c>
      <c r="C18" s="76" t="n">
        <v>20586.4031258342</v>
      </c>
      <c r="D18" s="77" t="n">
        <v>-1410.40526609814</v>
      </c>
      <c r="E18" s="78" t="n">
        <v>-0.0641186321655387</v>
      </c>
      <c r="F18" s="79" t="s">
        <v>15</v>
      </c>
    </row>
    <row r="19" customFormat="false" ht="16.5" hidden="false" customHeight="true" outlineLevel="0" collapsed="false">
      <c r="A19" s="75" t="s">
        <v>110</v>
      </c>
      <c r="B19" s="76" t="n">
        <v>37414.6880870892</v>
      </c>
      <c r="C19" s="76" t="n">
        <v>34799.0668624216</v>
      </c>
      <c r="D19" s="77" t="n">
        <v>-2615.62122466756</v>
      </c>
      <c r="E19" s="78" t="n">
        <v>-0.0699089410709306</v>
      </c>
      <c r="F19" s="79" t="s">
        <v>15</v>
      </c>
    </row>
    <row r="20" customFormat="false" ht="16.5" hidden="false" customHeight="true" outlineLevel="0" collapsed="false">
      <c r="A20" s="75" t="s">
        <v>117</v>
      </c>
      <c r="B20" s="76" t="n">
        <v>24858.6849847714</v>
      </c>
      <c r="C20" s="76" t="n">
        <v>21580.3771315931</v>
      </c>
      <c r="D20" s="77" t="n">
        <v>-3278.3078531783</v>
      </c>
      <c r="E20" s="78" t="n">
        <v>-0.131877766470214</v>
      </c>
      <c r="F20" s="79" t="s">
        <v>15</v>
      </c>
    </row>
    <row r="21" customFormat="false" ht="16.5" hidden="false" customHeight="true" outlineLevel="0" collapsed="false">
      <c r="A21" s="75" t="s">
        <v>328</v>
      </c>
      <c r="B21" s="76" t="n">
        <v>42279.8694242498</v>
      </c>
      <c r="C21" s="76" t="n">
        <v>34597.4163688121</v>
      </c>
      <c r="D21" s="77" t="n">
        <v>-7682.45305543768</v>
      </c>
      <c r="E21" s="78" t="n">
        <v>-0.181704748856944</v>
      </c>
      <c r="F21" s="79" t="s">
        <v>15</v>
      </c>
    </row>
    <row r="22" customFormat="false" ht="16.5" hidden="false" customHeight="true" outlineLevel="0" collapsed="false">
      <c r="A22" s="75" t="s">
        <v>79</v>
      </c>
      <c r="B22" s="76" t="n">
        <v>129076.693913475</v>
      </c>
      <c r="C22" s="76" t="n">
        <v>117268.357107595</v>
      </c>
      <c r="D22" s="77" t="n">
        <v>-11808.3368058801</v>
      </c>
      <c r="E22" s="78" t="n">
        <v>-0.091483105492272</v>
      </c>
      <c r="F22" s="79" t="s">
        <v>15</v>
      </c>
    </row>
    <row r="23" customFormat="false" ht="16.5" hidden="false" customHeight="true" outlineLevel="0" collapsed="false">
      <c r="A23" s="75" t="s">
        <v>147</v>
      </c>
      <c r="B23" s="76" t="n">
        <v>69635.1859523538</v>
      </c>
      <c r="C23" s="76" t="n">
        <v>51523.7940440408</v>
      </c>
      <c r="D23" s="77" t="n">
        <v>-18111.3919083131</v>
      </c>
      <c r="E23" s="78" t="n">
        <v>-0.260089661004213</v>
      </c>
      <c r="F23" s="79" t="s">
        <v>15</v>
      </c>
    </row>
    <row r="24" customFormat="false" ht="16.5" hidden="false" customHeight="true" outlineLevel="0" collapsed="false">
      <c r="A24" s="75" t="s">
        <v>139</v>
      </c>
      <c r="B24" s="76" t="n">
        <v>61020.331020381</v>
      </c>
      <c r="C24" s="76" t="n">
        <v>28585.798584881</v>
      </c>
      <c r="D24" s="77" t="n">
        <v>-32434.5324355</v>
      </c>
      <c r="E24" s="78" t="n">
        <v>-0.53153648780874</v>
      </c>
      <c r="F24" s="79" t="s">
        <v>15</v>
      </c>
    </row>
    <row r="25" customFormat="false" ht="16.5" hidden="false" customHeight="true" outlineLevel="0" collapsed="false">
      <c r="A25" s="75" t="s">
        <v>294</v>
      </c>
      <c r="B25" s="76" t="n">
        <v>138804.752853328</v>
      </c>
      <c r="C25" s="76" t="n">
        <v>92858.2847374551</v>
      </c>
      <c r="D25" s="77" t="n">
        <v>-45946.468115873</v>
      </c>
      <c r="E25" s="78" t="n">
        <v>-0.331015092577007</v>
      </c>
      <c r="F25" s="79" t="s">
        <v>15</v>
      </c>
    </row>
    <row r="26" customFormat="false" ht="16.5" hidden="false" customHeight="true" outlineLevel="0" collapsed="false">
      <c r="A26" s="75" t="s">
        <v>224</v>
      </c>
      <c r="B26" s="76" t="n">
        <v>84974.2914957974</v>
      </c>
      <c r="C26" s="76" t="n">
        <v>28462.7315878224</v>
      </c>
      <c r="D26" s="77" t="n">
        <v>-56511.559907975</v>
      </c>
      <c r="E26" s="78" t="n">
        <v>-0.665043025522253</v>
      </c>
      <c r="F26" s="79" t="s">
        <v>15</v>
      </c>
    </row>
    <row r="27" customFormat="false" ht="16.5" hidden="false" customHeight="true" outlineLevel="0" collapsed="false">
      <c r="A27" s="75" t="s">
        <v>118</v>
      </c>
      <c r="B27" s="76" t="n">
        <v>154169.434793151</v>
      </c>
      <c r="C27" s="76" t="n">
        <v>95991.5730140825</v>
      </c>
      <c r="D27" s="77" t="n">
        <v>-58177.8617790679</v>
      </c>
      <c r="E27" s="78" t="n">
        <v>-0.377363138530833</v>
      </c>
      <c r="F27" s="79" t="s">
        <v>15</v>
      </c>
    </row>
    <row r="28" customFormat="false" ht="19.5" hidden="false" customHeight="true" outlineLevel="0" collapsed="false">
      <c r="A28" s="60" t="s">
        <v>329</v>
      </c>
      <c r="B28" s="61" t="n">
        <f aca="false">SUM(B4:B27)</f>
        <v>1724304.77682428</v>
      </c>
      <c r="C28" s="61" t="n">
        <f aca="false">SUM(C4:C27)</f>
        <v>1667306.46526342</v>
      </c>
      <c r="D28" s="61" t="n">
        <f aca="false">SUM(D4:D27)</f>
        <v>-56998.3115608603</v>
      </c>
      <c r="E28" s="60"/>
      <c r="F28" s="60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2026-03-31T16:46:27Z</dcterms:created>
  <dc:creator>openpyxl</dc:creator>
  <dc:description/>
  <dc:language>en-US</dc:language>
  <cp:lastModifiedBy/>
  <dcterms:modified xsi:type="dcterms:W3CDTF">2026-03-31T16:46:27Z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